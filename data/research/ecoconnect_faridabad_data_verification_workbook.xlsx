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Candidate Register" sheetId="2" state="visible" r:id="rId4"/>
    <sheet name="Verification Evidence" sheetId="3" state="visible" r:id="rId5"/>
    <sheet name="Human Verification Queue" sheetId="4" state="visible" r:id="rId6"/>
    <sheet name="Data Dictionary" sheetId="5" state="visible" r:id="rId7"/>
  </sheets>
  <definedNames>
    <definedName function="false" hidden="false" localSheetId="1" name="_xlnm.Print_Titles" vbProcedure="false">'Candidate Register'!$A:$B,'Candidate Register'!$4:$4</definedName>
    <definedName function="false" hidden="false" localSheetId="4" name="_xlnm.Print_Titles" vbProcedure="false">'Data Dictionary'!$4:$4</definedName>
    <definedName function="false" hidden="false" localSheetId="0" name="_xlnm.Print_Titles" vbProcedure="false">'Executive Summary'!$1:$2</definedName>
    <definedName function="false" hidden="false" localSheetId="3" name="_xlnm.Print_Titles" vbProcedure="false">'Human Verification Queue'!$4:$4</definedName>
    <definedName function="false" hidden="false" localSheetId="2" name="_xlnm.Print_Titles" vbProcedure="false">'Verification Evidence'!$A:$B,'Verification Evidence'!$4:$4</definedName>
    <definedName function="false" hidden="false" localSheetId="1" name="_xlnm.Print_Titles" vbProcedure="false">'Candidate Register'!$4:$4,'Candidate Register'!$A:$B</definedName>
    <definedName function="false" hidden="false" localSheetId="2" name="_xlnm.Print_Titles" vbProcedure="false">'Verification Evidence'!$4:$4,'Verification Evidence'!$A:$B</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<sst xmlns="http://schemas.openxmlformats.org/spreadsheetml/2006/main" count="2665" uniqueCount="671">
  <si>
    <t xml:space="preserve">EcoConnect Faridabad - Data Verification Summary</t>
  </si>
  <si>
    <t xml:space="preserve">Research and review artifact for Member 3 (Data, QA &amp; Demo Lead). It is NOT an authorization to publish any provider, and it does not change the production dataset.</t>
  </si>
  <si>
    <t xml:space="preserve">All counts below are formulas over the Candidate Register and Verification Evidence sheets. Review date 2026-10-10.</t>
  </si>
  <si>
    <t xml:space="preserve">1. Candidate-level result</t>
  </si>
  <si>
    <t xml:space="preserve">Overall status (see Data Dictionary for the rule)</t>
  </si>
  <si>
    <t xml:space="preserve">Candidates</t>
  </si>
  <si>
    <t xml:space="preserve">verified</t>
  </si>
  <si>
    <t xml:space="preserve">partially_verified</t>
  </si>
  <si>
    <t xml:space="preserve">unverified</t>
  </si>
  <si>
    <t xml:space="preserve">conflicting</t>
  </si>
  <si>
    <t xml:space="preserve">Total candidate records</t>
  </si>
  <si>
    <t xml:space="preserve">2. Checks by category (all candidates)</t>
  </si>
  <si>
    <t xml:space="preserve">Verification category</t>
  </si>
  <si>
    <t xml:space="preserve">not_applicable</t>
  </si>
  <si>
    <t xml:space="preserve">Total</t>
  </si>
  <si>
    <t xml:space="preserve">Outstanding</t>
  </si>
  <si>
    <t xml:space="preserve">Entity match to historical record</t>
  </si>
  <si>
    <t xml:space="preserve">Current registration / authorization</t>
  </si>
  <si>
    <t xml:space="preserve">Operating at recorded address</t>
  </si>
  <si>
    <t xml:space="preserve">Household (individual) intake</t>
  </si>
  <si>
    <t xml:space="preserve">Drop-off / collection / pickup service</t>
  </si>
  <si>
    <t xml:space="preserve">Accepted item categories</t>
  </si>
  <si>
    <t xml:space="preserve">Contact channel</t>
  </si>
  <si>
    <t xml:space="preserve">Operating hours</t>
  </si>
  <si>
    <t xml:space="preserve">Listing &amp; reuse permission</t>
  </si>
  <si>
    <t xml:space="preserve">All checks</t>
  </si>
  <si>
    <t xml:space="preserve">Outstanding = checks not yet 'verified' and not 'not_applicable'. 'Completed' below means status 'verified'.</t>
  </si>
  <si>
    <t xml:space="preserve">3. Headline checks: completed versus outstanding</t>
  </si>
  <si>
    <t xml:space="preserve">Check</t>
  </si>
  <si>
    <t xml:space="preserve">Completed (verified)</t>
  </si>
  <si>
    <t xml:space="preserve">Of which partially verified</t>
  </si>
  <si>
    <t xml:space="preserve">Current registration</t>
  </si>
  <si>
    <t xml:space="preserve">Household acceptance</t>
  </si>
  <si>
    <t xml:space="preserve">Listing / reuse permission</t>
  </si>
  <si>
    <t xml:space="preserve">4. Production-safety checks (all expected to stay as shown)</t>
  </si>
  <si>
    <t xml:space="preserve">Count</t>
  </si>
  <si>
    <t xml:space="preserve">Expected</t>
  </si>
  <si>
    <t xml:space="preserve">Records with active = True</t>
  </si>
  <si>
    <t xml:space="preserve">Records with review_status other than pending</t>
  </si>
  <si>
    <t xml:space="preserve">Records with isSample = True</t>
  </si>
  <si>
    <t xml:space="preserve">Records with listing_permission other than pending_clarification</t>
  </si>
  <si>
    <t xml:space="preserve">Candidates needing human follow-up (any open check)</t>
  </si>
  <si>
    <t xml:space="preserve">5. Reconciliation checks</t>
  </si>
  <si>
    <t xml:space="preserve">Result</t>
  </si>
  <si>
    <t xml:space="preserve">Candidate rows in register</t>
  </si>
  <si>
    <t xml:space="preserve">Distinct provider IDs in register</t>
  </si>
  <si>
    <t xml:space="preserve">Evidence rows (10 candidates x 9 checks)</t>
  </si>
  <si>
    <t xml:space="preserve">Register IDs missing from evidence</t>
  </si>
  <si>
    <t xml:space="preserve">Evidence rows whose ID is not in the register</t>
  </si>
  <si>
    <t xml:space="preserve">Evidence rows with no status</t>
  </si>
  <si>
    <t xml:space="preserve">Evidence rows with no source and no 'NO EVIDENCE LOCATED' marker</t>
  </si>
  <si>
    <t xml:space="preserve">Queue rows (10 x 9 + 4 program items)</t>
  </si>
  <si>
    <t xml:space="preserve">Derived status counts add up to candidate total</t>
  </si>
  <si>
    <t xml:space="preserve">Matrix total equals evidence rows</t>
  </si>
  <si>
    <t xml:space="preserve">6. Source access limitations</t>
  </si>
  <si>
    <t xml:space="preserve">The CPCB EPR portal (eprewaste.cpcb.gov.in), hspcb.gov.in and its original PDF 'List of E-waste Recyclers / Dismantler' disallow automated access. Current registration, CTO and EPR status could not be checked at the authoritative source for any candidate.</t>
  </si>
  <si>
    <t xml:space="preserve">The HSPCB reply in NGT OA No. 88 of 2025 (greentribunal.gov.in) is too large to fetch here and a direct download was blocked, so only search-extract fragments were read; inspection, CTO and EPR columns were not legible.</t>
  </si>
  <si>
    <t xml:space="preserve">The CPCB list used for matching is dated 08-06-2023 and is a mirror on ndmc.gov.in; it is a historical lead, not proof of current authorization.</t>
  </si>
  <si>
    <t xml:space="preserve">Company websites exist only for Naturevolt (read) and Re-Chakra (fetched; only its title was returned). No company pages were found for the other eight.</t>
  </si>
  <si>
    <t xml:space="preserve">7. Data-quality observations (nothing in the original data was changed)</t>
  </si>
  <si>
    <t xml:space="preserve">The CSV starts with a UTF-8 byte-order mark before 'provider_id'; the register header shows the clean name.</t>
  </si>
  <si>
    <t xml:space="preserve">HIST-017 'Pargiti Vihar' may be a variant of 'Pragati Vihar' used by HIST-019 and HIST-024 (unconfirmed; not corrected). HIST-017 is also absent from the CPCB 2023 Haryana list.</t>
  </si>
  <si>
    <t xml:space="preserve">HIST-016 and HIST-021 both sit on plot 323, Sector-24 in the CPCB list ('Part-IV' for HIST-021): possible shared premises or a transcription difference.</t>
  </si>
  <si>
    <t xml:space="preserve">HIST-016, HIST-019 and HIST-020 carry the annotation '(Not available on website)' in the CPCB 2023 list; its meaning is not defined there.</t>
  </si>
  <si>
    <t xml:space="preserve">CSV row references (HSPCB PDF rows 16-25) use a different numbering from the CPCB list (Haryana serials 11-14 and 36-40) and could not be checked against the PDF.</t>
  </si>
  <si>
    <t xml:space="preserve">Look-alike names that were NOT matched: 'Endeavor Recyclers India Private Limited' (Rohtak) vs HIST-016, and 'E waste Solutions, Khasra No. ...' (2025 HSPCB fragment) vs HIST-018.</t>
  </si>
  <si>
    <t xml:space="preserve">accepted_item_types, service_modes and last_verified_at are blank in all ten rows; provider_type (Dismantler/Recycler) could not be confirmed.</t>
  </si>
  <si>
    <t xml:space="preserve">8. Key risks and recommended next actions</t>
  </si>
  <si>
    <t xml:space="preserve">Risk: publishing any row as 'authorized' would rest on a 2023 list; keep active=False and review_status=pending for all ten.</t>
  </si>
  <si>
    <t xml:space="preserve">Risk: no candidate has direct evidence of household intake. Several sources describe brand take-back programmes or business customers only, so these may not suit a consumer directory.</t>
  </si>
  <si>
    <t xml:space="preserve">Risk: listing and reuse permission is unresolved for every record, including the data-reuse terms of the source documents.</t>
  </si>
  <si>
    <t xml:space="preserve">Next 1: a person opens the original HSPCB PDF and the CPCB EPR portal and records registration numbers, validity and dates (queue items for all candidates).</t>
  </si>
  <si>
    <t xml:space="preserve">Next 2: email HSPCB Faridabad Regional Office for the latest list, its publication date and reuse terms.</t>
  </si>
  <si>
    <t xml:space="preserve">Next 3: contact facilities through channels supported by evidence (Naturevolt, Re-Chakra) and obtain written answers on household intake, accepted items, hours and consent; for the rest, find a supported channel first.</t>
  </si>
  <si>
    <t xml:space="preserve">Next 4: map fields to the approved schema only after reading AGENTS.md and docs/DATA_GUIDELINES.md.</t>
  </si>
  <si>
    <t xml:space="preserve">Candidate Register</t>
  </si>
  <si>
    <t xml:space="preserve">Columns A-V are the original CSV exactly as supplied (10 rows x 22 columns). Columns W-AB (blue headers) are separate, derived verification fields. The source CSV was not modified.</t>
  </si>
  <si>
    <t xml:space="preserve">Amber-shaded empty cells were blank in the source CSV. active=False and review_status=pending are kept for every record: quarantined research data, not for publication.</t>
  </si>
  <si>
    <t xml:space="preserve">provider_id</t>
  </si>
  <si>
    <t xml:space="preserve">provider_name</t>
  </si>
  <si>
    <t xml:space="preserve">provider_type_as_listed</t>
  </si>
  <si>
    <t xml:space="preserve">address_as_listed</t>
  </si>
  <si>
    <t xml:space="preserve">accepted_item_types</t>
  </si>
  <si>
    <t xml:space="preserve">service_modes</t>
  </si>
  <si>
    <t xml:space="preserve">source_url</t>
  </si>
  <si>
    <t xml:space="preserve">source_title</t>
  </si>
  <si>
    <t xml:space="preserve">source_accessed_at</t>
  </si>
  <si>
    <t xml:space="preserve">source_publication_date</t>
  </si>
  <si>
    <t xml:space="preserve">registration_status</t>
  </si>
  <si>
    <t xml:space="preserve">verification_level</t>
  </si>
  <si>
    <t xml:space="preserve">verification_method</t>
  </si>
  <si>
    <t xml:space="preserve">verification_evidence_ref</t>
  </si>
  <si>
    <t xml:space="preserve">source_license</t>
  </si>
  <si>
    <t xml:space="preserve">listing_permission</t>
  </si>
  <si>
    <t xml:space="preserve">contact_confirmation</t>
  </si>
  <si>
    <t xml:space="preserve">review_status</t>
  </si>
  <si>
    <t xml:space="preserve">last_verified_at</t>
  </si>
  <si>
    <t xml:space="preserve">isSample</t>
  </si>
  <si>
    <t xml:space="preserve">active</t>
  </si>
  <si>
    <t xml:space="preserve">notes</t>
  </si>
  <si>
    <t xml:space="preserve">derived_overall_status</t>
  </si>
  <si>
    <t xml:space="preserve">derived_registration_status</t>
  </si>
  <si>
    <t xml:space="preserve">derived_household_status</t>
  </si>
  <si>
    <t xml:space="preserve">derived_cpcb2023_haryana_serial</t>
  </si>
  <si>
    <t xml:space="preserve">derived_cpcb2023_capacity_mta</t>
  </si>
  <si>
    <t xml:space="preserve">derived_flags</t>
  </si>
  <si>
    <t xml:space="preserve">FBD-EW-HSPCB-HIST-016</t>
  </si>
  <si>
    <t xml:space="preserve">Endeavor Re-processor and Recyclers India</t>
  </si>
  <si>
    <t xml:space="preserve">Dismantler</t>
  </si>
  <si>
    <t xml:space="preserve">Plot no. 323, Sec-24, Industrial Area, Faridabad</t>
  </si>
  <si>
    <t xml:space="preserve">https://hspcb.gov.in/uploads/pages/ewaster_66ac829eb3965.pdf</t>
  </si>
  <si>
    <t xml:space="preserve">HSPCB PDF: List of E-waste Recyclers / Dismantler (historical record; current validity not established)</t>
  </si>
  <si>
    <t xml:space="preserve">Not established from accessible record</t>
  </si>
  <si>
    <t xml:space="preserve">unknown_needs_current_verification</t>
  </si>
  <si>
    <t xml:space="preserve">official_historical_record_only</t>
  </si>
  <si>
    <t xml:space="preserve">official_document_search_result</t>
  </si>
  <si>
    <t xml:space="preserve">HSPCB PDF row 16 (indexed search extract)</t>
  </si>
  <si>
    <t xml:space="preserve">not_checked</t>
  </si>
  <si>
    <t xml:space="preserve">pending_clarification</t>
  </si>
  <si>
    <t xml:space="preserve">pending</t>
  </si>
  <si>
    <t xml:space="preserve">False</t>
  </si>
  <si>
    <t xml:space="preserve">Do not publish as currently authorized until current CPCB registration/status and service details are verified.</t>
  </si>
  <si>
    <t xml:space="preserve">Shares plot 323, Sec-24 with HIST-021; CPCB list annotation 'Not available on website'; similarly named entity in Rohtak not matched.</t>
  </si>
  <si>
    <t xml:space="preserve">FBD-EW-HSPCB-HIST-017</t>
  </si>
  <si>
    <t xml:space="preserve">A to Z E-waste Solutions</t>
  </si>
  <si>
    <t xml:space="preserve">Plot no. 66, Pargiti Vihar, Industrial Area, Sector-59, Ballabgarh, Faridabad</t>
  </si>
  <si>
    <t xml:space="preserve">HSPCB PDF row 17 (indexed search extract)</t>
  </si>
  <si>
    <t xml:space="preserve">not found in list</t>
  </si>
  <si>
    <t xml:space="preserve">n/a</t>
  </si>
  <si>
    <t xml:space="preserve">Not found in CPCB 2023 Haryana list; 'Pargiti Vihar' may be a variant of 'Pragati Vihar' (unconfirmed, not corrected).</t>
  </si>
  <si>
    <t xml:space="preserve">FBD-EW-HSPCB-HIST-018</t>
  </si>
  <si>
    <t xml:space="preserve">E-waste Solutions</t>
  </si>
  <si>
    <t xml:space="preserve">Industrial Shed, 1A, Industrial Estate, Sector-6, Faridabad</t>
  </si>
  <si>
    <t xml:space="preserve">HSPCB PDF row 18 (indexed search extract)</t>
  </si>
  <si>
    <t xml:space="preserve">Generic name; a differently addressed 'E waste Solutions' appears in 2025 HSPCB fragment - do not conflate.</t>
  </si>
  <si>
    <t xml:space="preserve">FBD-EW-HSPCB-HIST-019</t>
  </si>
  <si>
    <t xml:space="preserve">V S Enterprises</t>
  </si>
  <si>
    <t xml:space="preserve">Plot no. 9, Pragati Vihar, Sector-59, Faridabad</t>
  </si>
  <si>
    <t xml:space="preserve">HSPCB PDF row 19 (indexed search extract)</t>
  </si>
  <si>
    <t xml:space="preserve">CPCB list annotation 'Not available on website'; no independent web presence found.</t>
  </si>
  <si>
    <t xml:space="preserve">FBD-EW-HSPCB-HIST-020</t>
  </si>
  <si>
    <t xml:space="preserve">AMN E-Waste Management Pvt Ltd.</t>
  </si>
  <si>
    <t xml:space="preserve">Plot No. 171, Sector-59, Industrial Area, Faridabad</t>
  </si>
  <si>
    <t xml:space="preserve">HSPCB PDF row 20 (indexed search extract)</t>
  </si>
  <si>
    <t xml:space="preserve">FBD-EW-HSPCB-HIST-021</t>
  </si>
  <si>
    <t xml:space="preserve">Naturevolt Recyclers India Pvt Ltd</t>
  </si>
  <si>
    <t xml:space="preserve">Recycler</t>
  </si>
  <si>
    <t xml:space="preserve">Plot No. 323, Part-IV, Sector-24, Faridabad</t>
  </si>
  <si>
    <t xml:space="preserve">HSPCB PDF row 21 (indexed search extract)</t>
  </si>
  <si>
    <t xml:space="preserve">Shares plot 323 with HIST-016; two Naturevolt units appear in 2025 HSPCB fragment; website addresses business customers.</t>
  </si>
  <si>
    <t xml:space="preserve">FBD-EW-HSPCB-HIST-022</t>
  </si>
  <si>
    <t xml:space="preserve">AV Green Solutions Pvt Ltd.</t>
  </si>
  <si>
    <t xml:space="preserve">Plot No. 274, Sector-24, Industrial Area, Faridabad</t>
  </si>
  <si>
    <t xml:space="preserve">HSPCB PDF row 22 (indexed search extract)</t>
  </si>
  <si>
    <t xml:space="preserve">Only a machinery-supplier client list supports existence; no operating evidence.</t>
  </si>
  <si>
    <t xml:space="preserve">FBD-EW-HSPCB-HIST-023</t>
  </si>
  <si>
    <t xml:space="preserve">Re Chakra Waste Management LLP.</t>
  </si>
  <si>
    <t xml:space="preserve">Plot No. 18, Sector-6, Faridabad</t>
  </si>
  <si>
    <t xml:space="preserve">HSPCB PDF row 23 (indexed search extract)</t>
  </si>
  <si>
    <t xml:space="preserve">Plot number truncated in 2025 fragment; household intake not evidenced (brand take-back only).</t>
  </si>
  <si>
    <t xml:space="preserve">FBD-EW-HSPCB-HIST-024</t>
  </si>
  <si>
    <t xml:space="preserve">CLG Projects LLP</t>
  </si>
  <si>
    <t xml:space="preserve">Plot No. 75-76, Sector-59, Pragati Vihar, Ballabgarh, Faridabad</t>
  </si>
  <si>
    <t xml:space="preserve">HSPCB PDF row 24 (indexed search extract)</t>
  </si>
  <si>
    <t xml:space="preserve">No independent web presence found.</t>
  </si>
  <si>
    <t xml:space="preserve">FBD-EW-HSPCB-HIST-025</t>
  </si>
  <si>
    <t xml:space="preserve">SSL E Waste Management LLP</t>
  </si>
  <si>
    <t xml:space="preserve">Plot No. 410, Sector-68, IMT, Faridabad</t>
  </si>
  <si>
    <t xml:space="preserve">HSPCB PDF row 25 (indexed search extract)</t>
  </si>
  <si>
    <t xml:space="preserve">Verification Evidence</t>
  </si>
  <si>
    <t xml:space="preserve">One row per candidate per verification check (10 candidates x 9 checks). Researched on 2026-10-10 from the sources cited; nothing here is a confirmation by the facility.</t>
  </si>
  <si>
    <t xml:space="preserve">Header colours: blue = researched findings, brown = human-entered (blank until a reviewer fills it). 'NO EVIDENCE LOCATED' means searched and nothing found - it is not a negative finding. Sort/filter with the column arrows.</t>
  </si>
  <si>
    <t xml:space="preserve">Provider ID</t>
  </si>
  <si>
    <t xml:space="preserve">Provider name</t>
  </si>
  <si>
    <t xml:space="preserve">Status</t>
  </si>
  <si>
    <t xml:space="preserve">Evidence source</t>
  </si>
  <si>
    <t xml:space="preserve">Evidence URL</t>
  </si>
  <si>
    <t xml:space="preserve">Additional sources</t>
  </si>
  <si>
    <t xml:space="preserve">Evidence excerpt / finding</t>
  </si>
  <si>
    <t xml:space="preserve">Date accessed</t>
  </si>
  <si>
    <t xml:space="preserve">Confidence</t>
  </si>
  <si>
    <t xml:space="preserve">Confidence rationale</t>
  </si>
  <si>
    <t xml:space="preserve">Contradictions / limitations</t>
  </si>
  <si>
    <t xml:space="preserve">Human follow-up required</t>
  </si>
  <si>
    <t xml:space="preserve">Next action</t>
  </si>
  <si>
    <t xml:space="preserve">Reviewer notes (human-entered)</t>
  </si>
  <si>
    <t xml:space="preserve">Lookup key</t>
  </si>
  <si>
    <t xml:space="preserve">CPCB list of authorised dismantlers/recyclers 'As on 08-06-2023' (mirror hosted at ndmc.gov.in; Haryana section read in full)</t>
  </si>
  <si>
    <t xml:space="preserve">https://www.ndmc.gov.in/pdf/cpcb_approved_list_of_e-waste_recyclers_dismantler.pdf</t>
  </si>
  <si>
    <t xml:space="preserve">Haryana serial 12: 'M/s Endeavor Re-processor and Recyclers India, Plot no. 323, Sec-24, industrial Area, Faridabad (Not available on website)'; capacity 365 MTA.</t>
  </si>
  <si>
    <t xml:space="preserve">medium</t>
  </si>
  <si>
    <t xml:space="preserve">Name and address match the CSV in an independent compilation of the same authorisation data; HSPCB PDF row 16 itself could not be read.</t>
  </si>
  <si>
    <t xml:space="preserve">Hosted on a third-party mirror (ndmc.gov.in), not the CPCB origin server; document title reads 'Rules, 2026', an apparent typo. Plot 323, Sec-24 is also listed for Naturevolt (HIST-021, 'Part-IV'). The similarly named 'Endeavor Recyclers India Private Limited' (Rohtak, serial 43) has a different address and was NOT matched.</t>
  </si>
  <si>
    <t xml:space="preserve">human_verification_required</t>
  </si>
  <si>
    <t xml:space="preserve">Open the original HSPCB PDF, confirm the row text and number, and compare with the CSV.</t>
  </si>
  <si>
    <t xml:space="preserve">FBD-EW-HSPCB-HIST-016|Entity match to historical record</t>
  </si>
  <si>
    <t xml:space="preserve">https://www.eprewaste.cpcb.gov.in/</t>
  </si>
  <si>
    <t xml:space="preserve">Listed in the 08-06-2023 CPCB list with the annotation '(Not available on website)'; no later record located.</t>
  </si>
  <si>
    <t xml:space="preserve">low</t>
  </si>
  <si>
    <t xml:space="preserve">A 2023 listing is not current authorization, and the annotation (undefined in the document) is a flag, not a finding.</t>
  </si>
  <si>
    <t xml:space="preserve">CPCB EPR portal and hspcb.gov.in (including the original HSPCB PDF) disallow automated access, so current registration, CTO and EPR status could not be checked at the authoritative source. The CPCB list is dated 08-06-2023 (over three years before this review).</t>
  </si>
  <si>
    <t xml:space="preserve">Look up the entity on the CPCB EPR portal (record registration number, validity, date checked) and ask HSPCB Faridabad Regional Office for the CTO/authorisation number and validity.</t>
  </si>
  <si>
    <t xml:space="preserve">FBD-EW-HSPCB-HIST-016|Current registration / authorization</t>
  </si>
  <si>
    <t xml:space="preserve">Only the list entry; no operating evidence located. The same plot number appears for another entity (HIST-021).</t>
  </si>
  <si>
    <t xml:space="preserve">Possible shared premises or a transcription difference cannot be resolved from the sources read.</t>
  </si>
  <si>
    <t xml:space="preserve">The CPCB list is dated 08-06-2023 (over three years before this review).</t>
  </si>
  <si>
    <t xml:space="preserve">Confirm the current operating address with the facility or HSPCB Faridabad Regional Office.</t>
  </si>
  <si>
    <t xml:space="preserve">FBD-EW-HSPCB-HIST-016|Operating at recorded address</t>
  </si>
  <si>
    <t xml:space="preserve">NO EVIDENCE LOCATED</t>
  </si>
  <si>
    <t xml:space="preserve">No source located for this specific claim.</t>
  </si>
  <si>
    <t xml:space="preserve">Ask the facility whether it accepts e-waste directly from individual households.</t>
  </si>
  <si>
    <t xml:space="preserve">FBD-EW-HSPCB-HIST-016|Household (individual) intake</t>
  </si>
  <si>
    <t xml:space="preserve">Ask whether it offers household drop-off, collection or pickup (where, how, any charge or minimum).</t>
  </si>
  <si>
    <t xml:space="preserve">FBD-EW-HSPCB-HIST-016|Drop-off / collection / pickup service</t>
  </si>
  <si>
    <t xml:space="preserve">Obtain a written list of the e-waste item categories accepted from households.</t>
  </si>
  <si>
    <t xml:space="preserve">FBD-EW-HSPCB-HIST-016|Accepted item categories</t>
  </si>
  <si>
    <t xml:space="preserve">Obtain an official contact channel in writing and confirm it may be shown publicly.</t>
  </si>
  <si>
    <t xml:space="preserve">FBD-EW-HSPCB-HIST-016|Contact channel</t>
  </si>
  <si>
    <t xml:space="preserve">Ask for intake/operating hours (days, times, holidays).</t>
  </si>
  <si>
    <t xml:space="preserve">FBD-EW-HSPCB-HIST-016|Operating hours</t>
  </si>
  <si>
    <t xml:space="preserve">CPCB EPR portal and HSPCB site - automated access disallowed</t>
  </si>
  <si>
    <t xml:space="preserve">Source licence and listing permission remain 'not_checked' / 'pending_clarification' in the input; no consent or reuse terms were located.</t>
  </si>
  <si>
    <t xml:space="preserve">No documented permission or licence terms found.</t>
  </si>
  <si>
    <t xml:space="preserve">Reuse terms of the CPCB list, the HSPCB PDF and the 2025 tribunal filing were not established.</t>
  </si>
  <si>
    <t xml:space="preserve">Request documented consent to be listed publicly and confirm HSPCB/CPCB data reuse terms (licence, attribution).</t>
  </si>
  <si>
    <t xml:space="preserve">FBD-EW-HSPCB-HIST-016|Listing &amp; reuse permission</t>
  </si>
  <si>
    <t xml:space="preserve">Not present among the 43 Haryana entries of the 08-06-2023 CPCB list; name located only in the input CSV. Web searches returned no company page or directory entry.</t>
  </si>
  <si>
    <t xml:space="preserve">No independent source matches this name; HSPCB PDF row 17 could not be read.</t>
  </si>
  <si>
    <t xml:space="preserve">Address says 'Pargiti Vihar'; other entries in the same area read 'Pragati Vihar' (likely a transcription variant, unconfirmed - not corrected). Hosted on a third-party mirror (ndmc.gov.in), not the CPCB origin server; document title reads 'Rules, 2026', an apparent typo.</t>
  </si>
  <si>
    <t xml:space="preserve">FBD-EW-HSPCB-HIST-017|Entity match to historical record</t>
  </si>
  <si>
    <t xml:space="preserve">NO EVIDENCE LOCATED (entity not found in accessible sources)</t>
  </si>
  <si>
    <t xml:space="preserve">Entity could not be matched, so no registration lookup is meaningful yet.</t>
  </si>
  <si>
    <t xml:space="preserve">CPCB EPR portal and hspcb.gov.in (including the original HSPCB PDF) disallow automated access, so current registration, CTO and EPR status could not be checked at the authoritative source.</t>
  </si>
  <si>
    <t xml:space="preserve">FBD-EW-HSPCB-HIST-017|Current registration / authorization</t>
  </si>
  <si>
    <t xml:space="preserve">No evidence beyond the list entry itself; no operating or site evidence located.</t>
  </si>
  <si>
    <t xml:space="preserve">FBD-EW-HSPCB-HIST-017|Operating at recorded address</t>
  </si>
  <si>
    <t xml:space="preserve">FBD-EW-HSPCB-HIST-017|Household (individual) intake</t>
  </si>
  <si>
    <t xml:space="preserve">FBD-EW-HSPCB-HIST-017|Drop-off / collection / pickup service</t>
  </si>
  <si>
    <t xml:space="preserve">FBD-EW-HSPCB-HIST-017|Accepted item categories</t>
  </si>
  <si>
    <t xml:space="preserve">FBD-EW-HSPCB-HIST-017|Contact channel</t>
  </si>
  <si>
    <t xml:space="preserve">FBD-EW-HSPCB-HIST-017|Operating hours</t>
  </si>
  <si>
    <t xml:space="preserve">FBD-EW-HSPCB-HIST-017|Listing &amp; reuse permission</t>
  </si>
  <si>
    <t xml:space="preserve">https://hisenseme.com/assets/assets/img/certificate/E-waste_Management.pdf
https://m.indiamart.com/ewaste-solution
https://www.greentribunal.gov.in/sites/default/files/news_updates/Reply%20of%20HSPCB%20in%20OA%20No.%2088%20of%202025%20(Devidas%20Khatri%20Vs.%20UOI%20%26%20Ors.).pdf</t>
  </si>
  <si>
    <t xml:space="preserve">Haryana serial 13: 'M/s E-waste Solutions, Industrial Shed, 1A, Industrial Estate, Sec-6, Faridabad'; 1000 MTA. A Hisense PDF and an IndiaMART listing give the same Shed 1A, Industrial Estate, Sector 6, Faridabad 121006 address.</t>
  </si>
  <si>
    <t xml:space="preserve">Name and address agree across the CPCB list and two third-party documents.</t>
  </si>
  <si>
    <t xml:space="preserve">Generic name. A 2025 HSPCB annexure fragment lists a 'M/s E waste Solutions, Khasra No. ...' (row 12) that appears to be a different address; the two must not be conflated. Hosted on a third-party mirror (ndmc.gov.in), not the CPCB origin server; document title reads 'Rules, 2026', an apparent typo.</t>
  </si>
  <si>
    <t xml:space="preserve">FBD-EW-HSPCB-HIST-018|Entity match to historical record</t>
  </si>
  <si>
    <t xml:space="preserve">https://hisenseme.com/assets/assets/img/certificate/E-waste_Management.pdf
https://www.greentribunal.gov.in/sites/default/files/news_updates/Reply%20of%20HSPCB%20in%20OA%20No.%2088%20of%202025%20(Devidas%20Khatri%20Vs.%20UOI%20%26%20Ors.).pdf
https://www.eprewaste.cpcb.gov.in/</t>
  </si>
  <si>
    <t xml:space="preserve">Listed in the 08-06-2023 CPCB list. Hisense's PDF states its partner is 'registered with Haryana State Pollution Control Board' (company claim, undated).</t>
  </si>
  <si>
    <t xml:space="preserve">Two independent mentions, but one is a brand's self-statement and the list is old.</t>
  </si>
  <si>
    <t xml:space="preserve">CPCB EPR portal and hspcb.gov.in (including the original HSPCB PDF) disallow automated access, so current registration, CTO and EPR status could not be checked at the authoritative source. The CPCB list is dated 08-06-2023 (over three years before this review). No CTO number or validity was legible.</t>
  </si>
  <si>
    <t xml:space="preserve">FBD-EW-HSPCB-HIST-018|Current registration / authorization</t>
  </si>
  <si>
    <t xml:space="preserve">Hisense: E-waste Management (corporate PDF, undated)</t>
  </si>
  <si>
    <t xml:space="preserve">https://hisenseme.com/assets/assets/img/certificate/E-waste_Management.pdf</t>
  </si>
  <si>
    <t xml:space="preserve">https://m.indiamart.com/ewaste-solution</t>
  </si>
  <si>
    <t xml:space="preserve">Hisense PDF: partner's plant at 'Industrial area 1A, Industrial Estate, Sector 6, Faridabad, Haryana - 121006'. IndiaMART lists 'Shed 1A, Industrial Estate, Sector 6'.</t>
  </si>
  <si>
    <t xml:space="preserve">Address repeated by third parties; no dated evidence of current operation.</t>
  </si>
  <si>
    <t xml:space="preserve">Both documents are undated; no site visit.</t>
  </si>
  <si>
    <t xml:space="preserve">FBD-EW-HSPCB-HIST-018|Operating at recorded address</t>
  </si>
  <si>
    <t xml:space="preserve">Hisense describes channelising its own customers' e-waste through the partner; no statement that individual households may deliver directly.</t>
  </si>
  <si>
    <t xml:space="preserve">Brand take-back arrangement is not evidence of open household intake.</t>
  </si>
  <si>
    <t xml:space="preserve">Scope of any household service is unknown.</t>
  </si>
  <si>
    <t xml:space="preserve">FBD-EW-HSPCB-HIST-018|Household (individual) intake</t>
  </si>
  <si>
    <t xml:space="preserve">IndiaMART seller listing 'E Waste Solutions', Faridabad (third-party directory, self-published)</t>
  </si>
  <si>
    <t xml:space="preserve">IndiaMART lists 'Schedule Pickup' and 'Material Collection'; Hisense PDF refers to an agreement for reverse logistics to the facility.</t>
  </si>
  <si>
    <t xml:space="preserve">A pickup/collection service appears to exist, but both sources are third-party and say nothing about households.</t>
  </si>
  <si>
    <t xml:space="preserve">Directory entries are self-published; coverage area and eligibility unknown.</t>
  </si>
  <si>
    <t xml:space="preserve">FBD-EW-HSPCB-HIST-018|Drop-off / collection / pickup service</t>
  </si>
  <si>
    <t xml:space="preserve">Directory lists trade categories (plastic scrap, ferrous scrap, battery scrap) - these are not an e-waste item list.</t>
  </si>
  <si>
    <t xml:space="preserve">No explicit e-waste accepted-items statement.</t>
  </si>
  <si>
    <t xml:space="preserve">Do not treat scrap trade codes as accepted item categories.</t>
  </si>
  <si>
    <t xml:space="preserve">FBD-EW-HSPCB-HIST-018|Accepted item categories</t>
  </si>
  <si>
    <t xml:space="preserve">Only a third-party directory shows phone numbers and a partner name; none copied here. No official contact channel was established.</t>
  </si>
  <si>
    <t xml:space="preserve">Directory contacts are not an official, confirmed channel.</t>
  </si>
  <si>
    <t xml:space="preserve">FBD-EW-HSPCB-HIST-018|Contact channel</t>
  </si>
  <si>
    <t xml:space="preserve">Directory displays hours text ('Closes 7 PM'); this is a self-published listing, not confirmed operating or intake hours.</t>
  </si>
  <si>
    <t xml:space="preserve">Not authoritative.</t>
  </si>
  <si>
    <t xml:space="preserve">FBD-EW-HSPCB-HIST-018|Operating hours</t>
  </si>
  <si>
    <t xml:space="preserve">FBD-EW-HSPCB-HIST-018|Listing &amp; reuse permission</t>
  </si>
  <si>
    <t xml:space="preserve">Haryana serial 14: 'M/s V S Enterprises, Plot no. 9, Pragati Vihar, Sector-59, Faridabad (Not available on website)'; 300 MTA.</t>
  </si>
  <si>
    <t xml:space="preserve">Name and address match the CSV; no other source mentions the entity.</t>
  </si>
  <si>
    <t xml:space="preserve">Hosted on a third-party mirror (ndmc.gov.in), not the CPCB origin server; document title reads 'Rules, 2026', an apparent typo.</t>
  </si>
  <si>
    <t xml:space="preserve">FBD-EW-HSPCB-HIST-019|Entity match to historical record</t>
  </si>
  <si>
    <t xml:space="preserve">A 2023 listing is not current authorization.</t>
  </si>
  <si>
    <t xml:space="preserve">FBD-EW-HSPCB-HIST-019|Current registration / authorization</t>
  </si>
  <si>
    <t xml:space="preserve">FBD-EW-HSPCB-HIST-019|Operating at recorded address</t>
  </si>
  <si>
    <t xml:space="preserve">FBD-EW-HSPCB-HIST-019|Household (individual) intake</t>
  </si>
  <si>
    <t xml:space="preserve">FBD-EW-HSPCB-HIST-019|Drop-off / collection / pickup service</t>
  </si>
  <si>
    <t xml:space="preserve">FBD-EW-HSPCB-HIST-019|Accepted item categories</t>
  </si>
  <si>
    <t xml:space="preserve">FBD-EW-HSPCB-HIST-019|Contact channel</t>
  </si>
  <si>
    <t xml:space="preserve">FBD-EW-HSPCB-HIST-019|Operating hours</t>
  </si>
  <si>
    <t xml:space="preserve">FBD-EW-HSPCB-HIST-019|Listing &amp; reuse permission</t>
  </si>
  <si>
    <t xml:space="preserve">Haryana serial 11: 'M/s AMN E-Waste Management Pvt Ltd., Plot No. 171, Sector-59, Industrial Area, Faridabad (Not available on website)'; 290 MTA.</t>
  </si>
  <si>
    <t xml:space="preserve">Name and address match the CSV; web search found no independent page for the entity.</t>
  </si>
  <si>
    <t xml:space="preserve">FBD-EW-HSPCB-HIST-020|Entity match to historical record</t>
  </si>
  <si>
    <t xml:space="preserve">FBD-EW-HSPCB-HIST-020|Current registration / authorization</t>
  </si>
  <si>
    <t xml:space="preserve">FBD-EW-HSPCB-HIST-020|Operating at recorded address</t>
  </si>
  <si>
    <t xml:space="preserve">FBD-EW-HSPCB-HIST-020|Household (individual) intake</t>
  </si>
  <si>
    <t xml:space="preserve">FBD-EW-HSPCB-HIST-020|Drop-off / collection / pickup service</t>
  </si>
  <si>
    <t xml:space="preserve">FBD-EW-HSPCB-HIST-020|Accepted item categories</t>
  </si>
  <si>
    <t xml:space="preserve">FBD-EW-HSPCB-HIST-020|Contact channel</t>
  </si>
  <si>
    <t xml:space="preserve">FBD-EW-HSPCB-HIST-020|Operating hours</t>
  </si>
  <si>
    <t xml:space="preserve">FBD-EW-HSPCB-HIST-020|Listing &amp; reuse permission</t>
  </si>
  <si>
    <t xml:space="preserve">https://www.greentribunal.gov.in/sites/default/files/news_updates/Reply%20of%20HSPCB%20in%20OA%20No.%2088%20of%202025%20(Devidas%20Khatri%20Vs.%20UOI%20%26%20Ors.).pdf</t>
  </si>
  <si>
    <t xml:space="preserve">Haryana serial 36: 'M/s. Naturevolt Recyclers India Pvt Ltd, Plot No. 323, Part-IV, Sector-24, Faridabad'; 5400 MTA. The 2025 HSPCB annexure fragments list two 'M/s Naturevolt Recyclers India Pvt. Ltd.' units (rows 6 and 7).</t>
  </si>
  <si>
    <t xml:space="preserve">Name and address match; the entity is named in two independent government-hosted documents.</t>
  </si>
  <si>
    <t xml:space="preserve">It is not legible which of the two 2025 units sits at plot 323. Same plot number is listed for Endeavor (HIST-016). Hosted on a third-party mirror (ndmc.gov.in), not the CPCB origin server; document title reads 'Rules, 2026', an apparent typo.</t>
  </si>
  <si>
    <t xml:space="preserve">FBD-EW-HSPCB-HIST-021|Entity match to historical record</t>
  </si>
  <si>
    <t xml:space="preserve">Miele India: National E-waste Recycling Program (corporate page)</t>
  </si>
  <si>
    <t xml:space="preserve">https://www.miele.in/cs/legal/national-e-waste-recycling-program-3310</t>
  </si>
  <si>
    <t xml:space="preserve">https://www.ndmc.gov.in/pdf/cpcb_approved_list_of_e-waste_recyclers_dismantler.pdf
https://www.greentribunal.gov.in/sites/default/files/news_updates/Reply%20of%20HSPCB%20in%20OA%20No.%2088%20of%202025%20(Devidas%20Khatri%20Vs.%20UOI%20%26%20Ors.).pdf
https://www.eprewaste.cpcb.gov.in/</t>
  </si>
  <si>
    <t xml:space="preserve">Miele describes Naturevolt as 'authorised by Haryana Pollution Control Board'. Naturevolt is also in the 08-06-2023 CPCB list and in the 2025 HSPCB annexure (CTO and EPR columns not legible in the extract). Naturevolt's own website shows no registration numbers.</t>
  </si>
  <si>
    <t xml:space="preserve">Three sources agree on authorisation status at different dates, but none gives a current CTO or EPR record.</t>
  </si>
  <si>
    <t xml:space="preserve">FBD-EW-HSPCB-HIST-021|Current registration / authorization</t>
  </si>
  <si>
    <t xml:space="preserve">naturevoltrecyclers.com home page (company website, fetched 2026-10-10)</t>
  </si>
  <si>
    <t xml:space="preserve">https://www.naturevoltrecyclers.com</t>
  </si>
  <si>
    <t xml:space="preserve">Company website gives only 'Faridabad' under contact; no plot-level address.</t>
  </si>
  <si>
    <t xml:space="preserve">No current source states the plot address.</t>
  </si>
  <si>
    <t xml:space="preserve">Two Naturevolt units are listed in 2025; location of each is unknown.</t>
  </si>
  <si>
    <t xml:space="preserve">FBD-EW-HSPCB-HIST-021|Operating at recorded address</t>
  </si>
  <si>
    <t xml:space="preserve">Company website addresses 'business allies'; Miele's page covers Miele customers only. No statement that households can deliver directly.</t>
  </si>
  <si>
    <t xml:space="preserve">Evidence points to business/brand-programme intake, not open household intake.</t>
  </si>
  <si>
    <t xml:space="preserve">FBD-EW-HSPCB-HIST-021|Household (individual) intake</t>
  </si>
  <si>
    <t xml:space="preserve">Website lists 'Schedule Pickup' as a process step; Miele states customer care shares the nearest drop point and, on request, the recycler's reverse-logistics team collects from the doorstep.</t>
  </si>
  <si>
    <t xml:space="preserve">A pickup process exists, but eligibility is limited to a brand programme and the website does not say who may use it.</t>
  </si>
  <si>
    <t xml:space="preserve">Doorstep collection is described for Miele customers, not for the public.</t>
  </si>
  <si>
    <t xml:space="preserve">FBD-EW-HSPCB-HIST-021|Drop-off / collection / pickup service</t>
  </si>
  <si>
    <t xml:space="preserve">Website says only 'used electronics' and 'E-waste Recycling &amp; Materials Recovery'; no itemised list.</t>
  </si>
  <si>
    <t xml:space="preserve">No explicit accepted-item categories.</t>
  </si>
  <si>
    <t xml:space="preserve">FBD-EW-HSPCB-HIST-021|Accepted item categories</t>
  </si>
  <si>
    <t xml:space="preserve">Company website lists an email (info@naturevoltrecyclers.com), a toll-free number (1800 2120 258) and a phone number; Miele's page cites the same website.</t>
  </si>
  <si>
    <t xml:space="preserve">Contact details come from the company's own site, corroborated by a brand page.</t>
  </si>
  <si>
    <t xml:space="preserve">Channel not tested; not confirmed as a route for public or household enquiries.</t>
  </si>
  <si>
    <t xml:space="preserve">FBD-EW-HSPCB-HIST-021|Contact channel</t>
  </si>
  <si>
    <t xml:space="preserve">FBD-EW-HSPCB-HIST-021|Operating hours</t>
  </si>
  <si>
    <t xml:space="preserve">FBD-EW-HSPCB-HIST-021|Listing &amp; reuse permission</t>
  </si>
  <si>
    <t xml:space="preserve">https://www.scribd.com/document/797588587/Client-List</t>
  </si>
  <si>
    <t xml:space="preserve">Haryana serial 37: 'M/s. AV Green Solutions Pvt Ltd., Plot No. 274, Sector-24, Industrial Area, Faridabad'; 381 MTA. A machinery supplier's client list names 'AV Green Solutions Pvt Ltd' (PCB recycling machines).</t>
  </si>
  <si>
    <t xml:space="preserve">Name and address match the CSV; the client list suggests the company exists but says nothing about authorization.</t>
  </si>
  <si>
    <t xml:space="preserve">Client list is an unauthenticated third-party document with no location. Hosted on a third-party mirror (ndmc.gov.in), not the CPCB origin server; document title reads 'Rules, 2026', an apparent typo.</t>
  </si>
  <si>
    <t xml:space="preserve">FBD-EW-HSPCB-HIST-022|Entity match to historical record</t>
  </si>
  <si>
    <t xml:space="preserve">Listed in the 08-06-2023 CPCB list; no later record located.</t>
  </si>
  <si>
    <t xml:space="preserve">FBD-EW-HSPCB-HIST-022|Current registration / authorization</t>
  </si>
  <si>
    <t xml:space="preserve">FBD-EW-HSPCB-HIST-022|Operating at recorded address</t>
  </si>
  <si>
    <t xml:space="preserve">FBD-EW-HSPCB-HIST-022|Household (individual) intake</t>
  </si>
  <si>
    <t xml:space="preserve">FBD-EW-HSPCB-HIST-022|Drop-off / collection / pickup service</t>
  </si>
  <si>
    <t xml:space="preserve">FBD-EW-HSPCB-HIST-022|Accepted item categories</t>
  </si>
  <si>
    <t xml:space="preserve">FBD-EW-HSPCB-HIST-022|Contact channel</t>
  </si>
  <si>
    <t xml:space="preserve">FBD-EW-HSPCB-HIST-022|Operating hours</t>
  </si>
  <si>
    <t xml:space="preserve">FBD-EW-HSPCB-HIST-022|Listing &amp; reuse permission</t>
  </si>
  <si>
    <t xml:space="preserve">https://www.greentribunal.gov.in/sites/default/files/news_updates/Reply%20of%20HSPCB%20in%20OA%20No.%2088%20of%202025%20(Devidas%20Khatri%20Vs.%20UOI%20%26%20Ors.).pdf
https://www.eurekaforbes.com/media/E-waste_awareness_of_collection_Mecahnisim.pdf</t>
  </si>
  <si>
    <t xml:space="preserve">Haryana serial 38: 'M/s. Re Chakra Waste Management LLP., Plot No. -18, Sector-6, Faridabad'; 8931 MTA. The 2025 HSPCB annexure fragment lists 'M/s Re Chakra Waste Management LLP, Plot No. ... Sector-6, Faridabad' (Ballabgarh regional office). Eureka Forbes names the same recycler at Faridabad 121006.</t>
  </si>
  <si>
    <t xml:space="preserve">Name and area agree across three independent sources.</t>
  </si>
  <si>
    <t xml:space="preserve">Plot number is truncated in the 2025 fragment. Hosted on a third-party mirror (ndmc.gov.in), not the CPCB origin server; document title reads 'Rules, 2026', an apparent typo.</t>
  </si>
  <si>
    <t xml:space="preserve">FBD-EW-HSPCB-HIST-023|Entity match to historical record</t>
  </si>
  <si>
    <t xml:space="preserve">Eureka Forbes: E-waste awareness of collection mechanism (corporate PDF, undated)</t>
  </si>
  <si>
    <t xml:space="preserve">https://www.eurekaforbes.com/media/E-waste_awareness_of_collection_Mecahnisim.pdf</t>
  </si>
  <si>
    <t xml:space="preserve">Eureka Forbes: Re-Chakra is a 'recycler registered with HSPCB'. Also in the 08-06-2023 CPCB list and the 2025 HSPCB annexure (inspection, CTO and EPR columns not legible in the extract).</t>
  </si>
  <si>
    <t xml:space="preserve">Three sources agree on registration at different dates; no current CTO or EPR record was read.</t>
  </si>
  <si>
    <t xml:space="preserve">FBD-EW-HSPCB-HIST-023|Current registration / authorization</t>
  </si>
  <si>
    <t xml:space="preserve">HSPCB reply in NGT OA No. 88 of 2025, Annexure R-6/1 (search-extract fragments only; full file not readable here)</t>
  </si>
  <si>
    <t xml:space="preserve">Sector-6, Faridabad appears in the 2025 HSPCB fragment; Eureka Forbes gives 'Faridabad (Haryana) 121006'.</t>
  </si>
  <si>
    <t xml:space="preserve">Area is consistent across sources, but the plot number is not legible and operation is not evidenced.</t>
  </si>
  <si>
    <t xml:space="preserve">No site visit or dated operating evidence.</t>
  </si>
  <si>
    <t xml:space="preserve">FBD-EW-HSPCB-HIST-023|Operating at recorded address</t>
  </si>
  <si>
    <t xml:space="preserve">Eureka's customers call Eureka's own toll-free number; the recycler collects from Eureka's branches. No statement of direct household intake by Re-Chakra.</t>
  </si>
  <si>
    <t xml:space="preserve">FBD-EW-HSPCB-HIST-023|Household (individual) intake</t>
  </si>
  <si>
    <t xml:space="preserve">Collection described is brand-branch to recycler; no Re-Chakra drop-off or household pickup service was found.</t>
  </si>
  <si>
    <t xml:space="preserve">Indirect only.</t>
  </si>
  <si>
    <t xml:space="preserve">FBD-EW-HSPCB-HIST-023|Drop-off / collection / pickup service</t>
  </si>
  <si>
    <t xml:space="preserve">FBD-EW-HSPCB-HIST-023|Accepted item categories</t>
  </si>
  <si>
    <t xml:space="preserve">https://re-chakra.com</t>
  </si>
  <si>
    <t xml:space="preserve">Eureka Forbes lists info@re-chakra.com and re-chakra.com for queries. The site was fetched but returned only its title, so its own contact page could not be read.</t>
  </si>
  <si>
    <t xml:space="preserve">Contact is cited by a third party; the company site could not be read.</t>
  </si>
  <si>
    <t xml:space="preserve">Channel not tested.</t>
  </si>
  <si>
    <t xml:space="preserve">FBD-EW-HSPCB-HIST-023|Contact channel</t>
  </si>
  <si>
    <t xml:space="preserve">FBD-EW-HSPCB-HIST-023|Operating hours</t>
  </si>
  <si>
    <t xml:space="preserve">FBD-EW-HSPCB-HIST-023|Listing &amp; reuse permission</t>
  </si>
  <si>
    <t xml:space="preserve">Haryana serial 39: 'M/s. CLG Projects LLP, Plot no 75-76 sector 59 pragati vihar Ballabgarh faridabad'; 450 MTA.</t>
  </si>
  <si>
    <t xml:space="preserve">FBD-EW-HSPCB-HIST-024|Entity match to historical record</t>
  </si>
  <si>
    <t xml:space="preserve">FBD-EW-HSPCB-HIST-024|Current registration / authorization</t>
  </si>
  <si>
    <t xml:space="preserve">FBD-EW-HSPCB-HIST-024|Operating at recorded address</t>
  </si>
  <si>
    <t xml:space="preserve">FBD-EW-HSPCB-HIST-024|Household (individual) intake</t>
  </si>
  <si>
    <t xml:space="preserve">FBD-EW-HSPCB-HIST-024|Drop-off / collection / pickup service</t>
  </si>
  <si>
    <t xml:space="preserve">FBD-EW-HSPCB-HIST-024|Accepted item categories</t>
  </si>
  <si>
    <t xml:space="preserve">FBD-EW-HSPCB-HIST-024|Contact channel</t>
  </si>
  <si>
    <t xml:space="preserve">FBD-EW-HSPCB-HIST-024|Operating hours</t>
  </si>
  <si>
    <t xml:space="preserve">FBD-EW-HSPCB-HIST-024|Listing &amp; reuse permission</t>
  </si>
  <si>
    <t xml:space="preserve">Haryana serial 40: 'M/s. SSL E Waste Management LLP, Plot No. 410, Sector- 68, IMT, Faridabad'; 423 MTA.</t>
  </si>
  <si>
    <t xml:space="preserve">FBD-EW-HSPCB-HIST-025|Entity match to historical record</t>
  </si>
  <si>
    <t xml:space="preserve">FBD-EW-HSPCB-HIST-025|Current registration / authorization</t>
  </si>
  <si>
    <t xml:space="preserve">FBD-EW-HSPCB-HIST-025|Operating at recorded address</t>
  </si>
  <si>
    <t xml:space="preserve">FBD-EW-HSPCB-HIST-025|Household (individual) intake</t>
  </si>
  <si>
    <t xml:space="preserve">FBD-EW-HSPCB-HIST-025|Drop-off / collection / pickup service</t>
  </si>
  <si>
    <t xml:space="preserve">FBD-EW-HSPCB-HIST-025|Accepted item categories</t>
  </si>
  <si>
    <t xml:space="preserve">FBD-EW-HSPCB-HIST-025|Contact channel</t>
  </si>
  <si>
    <t xml:space="preserve">FBD-EW-HSPCB-HIST-025|Operating hours</t>
  </si>
  <si>
    <t xml:space="preserve">FBD-EW-HSPCB-HIST-025|Listing &amp; reuse permission</t>
  </si>
  <si>
    <t xml:space="preserve">Human Verification Queue</t>
  </si>
  <si>
    <t xml:space="preserve">Outstanding checks that need a person. Questions are written for the facility or for HSPCB Faridabad Regional Office. Brown headers / cream cells are for the team to fill; nothing is pre-filled as done.</t>
  </si>
  <si>
    <t xml:space="preserve">Contact methods appear only where a source supports them (see Contact basis). Blank = no supported channel yet. Consent status stays 'not_requested' until a written confirmation exists; completion status starts 'open'.</t>
  </si>
  <si>
    <t xml:space="preserve">Queue ID</t>
  </si>
  <si>
    <t xml:space="preserve">Check category</t>
  </si>
  <si>
    <t xml:space="preserve">Question requiring confirmation</t>
  </si>
  <si>
    <t xml:space="preserve">Suggested priority</t>
  </si>
  <si>
    <t xml:space="preserve">Responsible party</t>
  </si>
  <si>
    <t xml:space="preserve">Contact method (evidence-supported)</t>
  </si>
  <si>
    <t xml:space="preserve">Contact basis</t>
  </si>
  <si>
    <t xml:space="preserve">Date contacted</t>
  </si>
  <si>
    <t xml:space="preserve">Response date</t>
  </si>
  <si>
    <t xml:space="preserve">Response / evidence received</t>
  </si>
  <si>
    <t xml:space="preserve">Consent status</t>
  </si>
  <si>
    <t xml:space="preserve">Follow-up action</t>
  </si>
  <si>
    <t xml:space="preserve">Completion status</t>
  </si>
  <si>
    <t xml:space="preserve">Q001</t>
  </si>
  <si>
    <t xml:space="preserve">Please confirm that 'Endeavor Re-processor and Recyclers India' at the address recorded in the HSPCB list is your registered entity (legal name, any former name, any other unit).</t>
  </si>
  <si>
    <t xml:space="preserve">Medium</t>
  </si>
  <si>
    <t xml:space="preserve">HSPCB Faridabad Regional Office: hspcbrofr@gmail.com; 0129-2225315</t>
  </si>
  <si>
    <t xml:space="preserve">Taken from the input README, which cites the HSPCB regional-office page; not re-verified</t>
  </si>
  <si>
    <t xml:space="preserve">not_requested</t>
  </si>
  <si>
    <t xml:space="preserve">open</t>
  </si>
  <si>
    <t xml:space="preserve">Q002</t>
  </si>
  <si>
    <t xml:space="preserve">Please provide your current CPCB EPR registration number and validity and your current HSPCB consent/authorisation (CTO) number and validity under the E-Waste (Management) Rules.</t>
  </si>
  <si>
    <t xml:space="preserve">High</t>
  </si>
  <si>
    <t xml:space="preserve">Q003</t>
  </si>
  <si>
    <t xml:space="preserve">Is your facility currently operating at 'Plot no. 323, Sec-24, Industrial Area, Faridabad'? Please confirm the full current address, including any other units.</t>
  </si>
  <si>
    <t xml:space="preserve">No supported channel yet - obtain via HSPCB Faridabad Regional Office or the CPCB EPR portal entry</t>
  </si>
  <si>
    <t xml:space="preserve">Q004</t>
  </si>
  <si>
    <t xml:space="preserve">Do you accept e-waste directly from individual households (not only bulk consumers or producers)?</t>
  </si>
  <si>
    <t xml:space="preserve">Q005</t>
  </si>
  <si>
    <t xml:space="preserve">Do you offer household drop-off, collection or pickup? If so, where, how is it booked, and are there charges or minimum quantities?</t>
  </si>
  <si>
    <t xml:space="preserve">Q006</t>
  </si>
  <si>
    <t xml:space="preserve">Which e-waste item categories do you accept from households? Please share a written list, including items you do not accept.</t>
  </si>
  <si>
    <t xml:space="preserve">Q007</t>
  </si>
  <si>
    <t xml:space="preserve">Which phone, email or web contact may we publish for public enquiries? Please confirm in writing.</t>
  </si>
  <si>
    <t xml:space="preserve">Q008</t>
  </si>
  <si>
    <t xml:space="preserve">What are your intake or operating hours (days, times, holidays)?</t>
  </si>
  <si>
    <t xml:space="preserve">Low</t>
  </si>
  <si>
    <t xml:space="preserve">Q009</t>
  </si>
  <si>
    <t xml:space="preserve">Do you consent to being listed publicly in the EcoConnect directory with the details above? Please confirm in writing, including any attribution you require.</t>
  </si>
  <si>
    <t xml:space="preserve">Q010</t>
  </si>
  <si>
    <t xml:space="preserve">Please confirm that 'A to Z E-waste Solutions' at the address recorded in the HSPCB list is your registered entity (legal name, any former name, any other unit).</t>
  </si>
  <si>
    <t xml:space="preserve">Q011</t>
  </si>
  <si>
    <t xml:space="preserve">Q012</t>
  </si>
  <si>
    <t xml:space="preserve">Is your facility currently operating at 'Plot no. 66, Pargiti Vihar, Industrial Area, Sector-59, Ballabgarh, Faridabad'? Please confirm the full current address, including any other units.</t>
  </si>
  <si>
    <t xml:space="preserve">Q013</t>
  </si>
  <si>
    <t xml:space="preserve">Q014</t>
  </si>
  <si>
    <t xml:space="preserve">Q015</t>
  </si>
  <si>
    <t xml:space="preserve">Q016</t>
  </si>
  <si>
    <t xml:space="preserve">Q017</t>
  </si>
  <si>
    <t xml:space="preserve">Q018</t>
  </si>
  <si>
    <t xml:space="preserve">Q019</t>
  </si>
  <si>
    <t xml:space="preserve">Please confirm that 'E-waste Solutions' at the address recorded in the HSPCB list is your registered entity (legal name, any former name, any other unit).</t>
  </si>
  <si>
    <t xml:space="preserve">Q020</t>
  </si>
  <si>
    <t xml:space="preserve">Q021</t>
  </si>
  <si>
    <t xml:space="preserve">Is your facility currently operating at 'Industrial Shed, 1A, Industrial Estate, Sector-6, Faridabad'? Please confirm the full current address, including any other units.</t>
  </si>
  <si>
    <t xml:space="preserve">Q022</t>
  </si>
  <si>
    <t xml:space="preserve">Q023</t>
  </si>
  <si>
    <t xml:space="preserve">Q024</t>
  </si>
  <si>
    <t xml:space="preserve">Q025</t>
  </si>
  <si>
    <t xml:space="preserve">Q026</t>
  </si>
  <si>
    <t xml:space="preserve">Q027</t>
  </si>
  <si>
    <t xml:space="preserve">Q028</t>
  </si>
  <si>
    <t xml:space="preserve">Please confirm that 'V S Enterprises' at the address recorded in the HSPCB list is your registered entity (legal name, any former name, any other unit).</t>
  </si>
  <si>
    <t xml:space="preserve">Q029</t>
  </si>
  <si>
    <t xml:space="preserve">Q030</t>
  </si>
  <si>
    <t xml:space="preserve">Is your facility currently operating at 'Plot no. 9, Pragati Vihar, Sector-59, Faridabad'? Please confirm the full current address, including any other units.</t>
  </si>
  <si>
    <t xml:space="preserve">Q031</t>
  </si>
  <si>
    <t xml:space="preserve">Q032</t>
  </si>
  <si>
    <t xml:space="preserve">Q033</t>
  </si>
  <si>
    <t xml:space="preserve">Q034</t>
  </si>
  <si>
    <t xml:space="preserve">Q035</t>
  </si>
  <si>
    <t xml:space="preserve">Q036</t>
  </si>
  <si>
    <t xml:space="preserve">Q037</t>
  </si>
  <si>
    <t xml:space="preserve">Please confirm that 'AMN E-Waste Management Pvt Ltd.' at the address recorded in the HSPCB list is your registered entity (legal name, any former name, any other unit).</t>
  </si>
  <si>
    <t xml:space="preserve">Q038</t>
  </si>
  <si>
    <t xml:space="preserve">Q039</t>
  </si>
  <si>
    <t xml:space="preserve">Is your facility currently operating at 'Plot No. 171, Sector-59, Industrial Area, Faridabad'? Please confirm the full current address, including any other units.</t>
  </si>
  <si>
    <t xml:space="preserve">Q040</t>
  </si>
  <si>
    <t xml:space="preserve">Q041</t>
  </si>
  <si>
    <t xml:space="preserve">Q042</t>
  </si>
  <si>
    <t xml:space="preserve">Q043</t>
  </si>
  <si>
    <t xml:space="preserve">Q044</t>
  </si>
  <si>
    <t xml:space="preserve">Q045</t>
  </si>
  <si>
    <t xml:space="preserve">Q046</t>
  </si>
  <si>
    <t xml:space="preserve">Please confirm that 'Naturevolt Recyclers India Pvt Ltd' at the address recorded in the HSPCB list is your registered entity (legal name, any former name, any other unit).</t>
  </si>
  <si>
    <t xml:space="preserve">Q047</t>
  </si>
  <si>
    <t xml:space="preserve">Q048</t>
  </si>
  <si>
    <t xml:space="preserve">Is your facility currently operating at 'Plot No. 323, Part-IV, Sector-24, Faridabad'? Please confirm the full current address, including any other units.</t>
  </si>
  <si>
    <t xml:space="preserve">info@naturevoltrecyclers.com; toll-free 1800 2120 258</t>
  </si>
  <si>
    <t xml:space="preserve">Company website, fetched 2026-10-10</t>
  </si>
  <si>
    <t xml:space="preserve">Q049</t>
  </si>
  <si>
    <t xml:space="preserve">Q050</t>
  </si>
  <si>
    <t xml:space="preserve">Q051</t>
  </si>
  <si>
    <t xml:space="preserve">Q052</t>
  </si>
  <si>
    <t xml:space="preserve">Q053</t>
  </si>
  <si>
    <t xml:space="preserve">Q054</t>
  </si>
  <si>
    <t xml:space="preserve">Q055</t>
  </si>
  <si>
    <t xml:space="preserve">Please confirm that 'AV Green Solutions Pvt Ltd.' at the address recorded in the HSPCB list is your registered entity (legal name, any former name, any other unit).</t>
  </si>
  <si>
    <t xml:space="preserve">Q056</t>
  </si>
  <si>
    <t xml:space="preserve">Q057</t>
  </si>
  <si>
    <t xml:space="preserve">Is your facility currently operating at 'Plot No. 274, Sector-24, Industrial Area, Faridabad'? Please confirm the full current address, including any other units.</t>
  </si>
  <si>
    <t xml:space="preserve">Q058</t>
  </si>
  <si>
    <t xml:space="preserve">Q059</t>
  </si>
  <si>
    <t xml:space="preserve">Q060</t>
  </si>
  <si>
    <t xml:space="preserve">Q061</t>
  </si>
  <si>
    <t xml:space="preserve">Q062</t>
  </si>
  <si>
    <t xml:space="preserve">Q063</t>
  </si>
  <si>
    <t xml:space="preserve">Q064</t>
  </si>
  <si>
    <t xml:space="preserve">Please confirm that 'Re Chakra Waste Management LLP.' at the address recorded in the HSPCB list is your registered entity (legal name, any former name, any other unit).</t>
  </si>
  <si>
    <t xml:space="preserve">Q065</t>
  </si>
  <si>
    <t xml:space="preserve">Q066</t>
  </si>
  <si>
    <t xml:space="preserve">Is your facility currently operating at 'Plot No. 18, Sector-6, Faridabad'? Please confirm the full current address, including any other units.</t>
  </si>
  <si>
    <t xml:space="preserve">info@re-chakra.com; re-chakra.com</t>
  </si>
  <si>
    <t xml:space="preserve">Cited in Eureka Forbes PDF; company site content not readable</t>
  </si>
  <si>
    <t xml:space="preserve">Q067</t>
  </si>
  <si>
    <t xml:space="preserve">Q068</t>
  </si>
  <si>
    <t xml:space="preserve">Q069</t>
  </si>
  <si>
    <t xml:space="preserve">Q070</t>
  </si>
  <si>
    <t xml:space="preserve">Q071</t>
  </si>
  <si>
    <t xml:space="preserve">Q072</t>
  </si>
  <si>
    <t xml:space="preserve">Q073</t>
  </si>
  <si>
    <t xml:space="preserve">Please confirm that 'CLG Projects LLP' at the address recorded in the HSPCB list is your registered entity (legal name, any former name, any other unit).</t>
  </si>
  <si>
    <t xml:space="preserve">Q074</t>
  </si>
  <si>
    <t xml:space="preserve">Q075</t>
  </si>
  <si>
    <t xml:space="preserve">Is your facility currently operating at 'Plot No. 75-76, Sector-59, Pragati Vihar, Ballabgarh, Faridabad'? Please confirm the full current address, including any other units.</t>
  </si>
  <si>
    <t xml:space="preserve">Q076</t>
  </si>
  <si>
    <t xml:space="preserve">Q077</t>
  </si>
  <si>
    <t xml:space="preserve">Q078</t>
  </si>
  <si>
    <t xml:space="preserve">Q079</t>
  </si>
  <si>
    <t xml:space="preserve">Q080</t>
  </si>
  <si>
    <t xml:space="preserve">Q081</t>
  </si>
  <si>
    <t xml:space="preserve">Q082</t>
  </si>
  <si>
    <t xml:space="preserve">Please confirm that 'SSL E Waste Management LLP' at the address recorded in the HSPCB list is your registered entity (legal name, any former name, any other unit).</t>
  </si>
  <si>
    <t xml:space="preserve">Q083</t>
  </si>
  <si>
    <t xml:space="preserve">Q084</t>
  </si>
  <si>
    <t xml:space="preserve">Is your facility currently operating at 'Plot No. 410, Sector-68, IMT, Faridabad'? Please confirm the full current address, including any other units.</t>
  </si>
  <si>
    <t xml:space="preserve">Q085</t>
  </si>
  <si>
    <t xml:space="preserve">Q086</t>
  </si>
  <si>
    <t xml:space="preserve">Q087</t>
  </si>
  <si>
    <t xml:space="preserve">Q088</t>
  </si>
  <si>
    <t xml:space="preserve">Q089</t>
  </si>
  <si>
    <t xml:space="preserve">Q090</t>
  </si>
  <si>
    <t xml:space="preserve">Q091</t>
  </si>
  <si>
    <t xml:space="preserve">ALL</t>
  </si>
  <si>
    <t xml:space="preserve">All candidates</t>
  </si>
  <si>
    <t xml:space="preserve">Program</t>
  </si>
  <si>
    <t xml:space="preserve">Ask HSPCB Faridabad Regional Office for the latest applicable list, the publication date of the list used, and its reuse/attribution terms.</t>
  </si>
  <si>
    <t xml:space="preserve">See question</t>
  </si>
  <si>
    <t xml:space="preserve">Q092</t>
  </si>
  <si>
    <t xml:space="preserve">Open the original HSPCB PDF (ewaster_66ac829eb3965.pdf) in a browser and confirm rows 16-25 against the CSV, including 'Pargiti Vihar' vs 'Pragati Vihar'.</t>
  </si>
  <si>
    <t xml:space="preserve">Automated access to hspcb.gov.in is disallowed; needs a person with a browser</t>
  </si>
  <si>
    <t xml:space="preserve">Q093</t>
  </si>
  <si>
    <t xml:space="preserve">Check each provider on the CPCB EPR portal and record registration number, validity and date checked.</t>
  </si>
  <si>
    <t xml:space="preserve">https://www.eprewaste.cpcb.gov.in/ - automated access disallowed</t>
  </si>
  <si>
    <t xml:space="preserve">Q094</t>
  </si>
  <si>
    <t xml:space="preserve">Read AGENTS.md, docs/roles/MEMBER_3_DATA_QA_DEMO.md and docs/DATA_GUIDELINES.md and map fields to the approved schema before any production use.</t>
  </si>
  <si>
    <t xml:space="preserve">Repository files not available in this review</t>
  </si>
  <si>
    <t xml:space="preserve">Data Dictionary</t>
  </si>
  <si>
    <t xml:space="preserve">Fields used in this workbook. Original-field meanings come only from the input CSV and README; no repository schema rules were invented.</t>
  </si>
  <si>
    <t xml:space="preserve">'Allowed / observed values' lists values seen in the input. Anything marked 'confirm' must be checked against AGENTS.md and docs/DATA_GUIDELINES.md, which were not available.</t>
  </si>
  <si>
    <t xml:space="preserve">Field</t>
  </si>
  <si>
    <t xml:space="preserve">Where it appears</t>
  </si>
  <si>
    <t xml:space="preserve">Meaning</t>
  </si>
  <si>
    <t xml:space="preserve">Allowed / observed values</t>
  </si>
  <si>
    <t xml:space="preserve">Evidence requirement</t>
  </si>
  <si>
    <t xml:space="preserve">Mandatory for publication?</t>
  </si>
  <si>
    <t xml:space="preserve">Needs repo confirmation?</t>
  </si>
  <si>
    <t xml:space="preserve">Register (original)</t>
  </si>
  <si>
    <t xml:space="preserve">Stable identifier of the candidate record.</t>
  </si>
  <si>
    <t xml:space="preserve">Observed: FBD-EW-HSPCB-HIST-016 to -025. Format rule not defined in the files.</t>
  </si>
  <si>
    <t xml:space="preserve">Must stay unchanged from the input CSV.</t>
  </si>
  <si>
    <t xml:space="preserve">Not defined in the provided files</t>
  </si>
  <si>
    <t xml:space="preserve">Yes - confirm against AGENTS.md and docs/DATA_GUIDELINES.md</t>
  </si>
  <si>
    <t xml:space="preserve">Name as transcribed from the HSPCB extract.</t>
  </si>
  <si>
    <t xml:space="preserve">Free text as listed. Not corrected.</t>
  </si>
  <si>
    <t xml:space="preserve">Match to the original PDF; record discrepancies separately.</t>
  </si>
  <si>
    <t xml:space="preserve">Type as listed in the source (Dismantler or Recycler).</t>
  </si>
  <si>
    <t xml:space="preserve">Observed: Dismantler, Recycler. The CPCB 2023 list does not distinguish the two.</t>
  </si>
  <si>
    <t xml:space="preserve">Confirm from authorisation/EPR record.</t>
  </si>
  <si>
    <t xml:space="preserve">Address as transcribed from the source.</t>
  </si>
  <si>
    <t xml:space="preserve">Confirm current address with the facility or regulator.</t>
  </si>
  <si>
    <t xml:space="preserve">E-waste item categories the provider accepts.</t>
  </si>
  <si>
    <t xml:space="preserve">Blank in all rows. README: left blank until verified.</t>
  </si>
  <si>
    <t xml:space="preserve">Explicit written evidence of accepted items; never inferred.</t>
  </si>
  <si>
    <t xml:space="preserve">How the provider takes e-waste (drop-off, pickup, etc.).</t>
  </si>
  <si>
    <t xml:space="preserve">Explicit evidence of the service and who it is open to.</t>
  </si>
  <si>
    <t xml:space="preserve">Document the record was transcribed from.</t>
  </si>
  <si>
    <t xml:space="preserve">URL (here the HSPCB PDF).</t>
  </si>
  <si>
    <t xml:space="preserve">Keep; resolves to the original record.</t>
  </si>
  <si>
    <t xml:space="preserve">Title of the source, with caveats.</t>
  </si>
  <si>
    <t xml:space="preserve">Free text.</t>
  </si>
  <si>
    <t xml:space="preserve">Keep.</t>
  </si>
  <si>
    <t xml:space="preserve">Date the source was accessed when the record was made.</t>
  </si>
  <si>
    <t xml:space="preserve">Date. Observed: 2026-10-09.</t>
  </si>
  <si>
    <t xml:space="preserve">Keep; separate from this review's access date (2026-10-10).</t>
  </si>
  <si>
    <t xml:space="preserve">Publication date of the source.</t>
  </si>
  <si>
    <t xml:space="preserve">Observed: 'Not established from accessible record'.</t>
  </si>
  <si>
    <t xml:space="preserve">Establish from the original document or HSPCB.</t>
  </si>
  <si>
    <t xml:space="preserve">Registration/authorization state of the provider.</t>
  </si>
  <si>
    <t xml:space="preserve">Observed: unknown_needs_current_verification. Full list of allowed values not in the files.</t>
  </si>
  <si>
    <t xml:space="preserve">Current CPCB EPR registration and HSPCB consent evidence with number, validity and date.</t>
  </si>
  <si>
    <t xml:space="preserve">Per task brief: must not claim authorization until current evidence exists</t>
  </si>
  <si>
    <t xml:space="preserve">How far the record has been verified.</t>
  </si>
  <si>
    <t xml:space="preserve">Observed: official_historical_record_only. Full list not in the files.</t>
  </si>
  <si>
    <t xml:space="preserve">Evidence per check (see Verification Evidence).</t>
  </si>
  <si>
    <t xml:space="preserve">How the record was obtained.</t>
  </si>
  <si>
    <t xml:space="preserve">Observed: official_document_search_result.</t>
  </si>
  <si>
    <t xml:space="preserve">Pointer to the evidence row in the source.</t>
  </si>
  <si>
    <t xml:space="preserve">Observed: 'HSPCB PDF row NN (indexed search extract)'.</t>
  </si>
  <si>
    <t xml:space="preserve">Row numbers could not be checked against the PDF in this review.</t>
  </si>
  <si>
    <t xml:space="preserve">Reuse licence of the source document.</t>
  </si>
  <si>
    <t xml:space="preserve">Observed: not_checked. Full list not in the files.</t>
  </si>
  <si>
    <t xml:space="preserve">Documented licence or written permission.</t>
  </si>
  <si>
    <t xml:space="preserve">Per README: must be clarified before publishing copied records</t>
  </si>
  <si>
    <t xml:space="preserve">Whether the provider agreed to be listed publicly.</t>
  </si>
  <si>
    <t xml:space="preserve">Observed: pending_clarification. Full list not in the files.</t>
  </si>
  <si>
    <t xml:space="preserve">Documented written consent from the provider.</t>
  </si>
  <si>
    <t xml:space="preserve">Per task brief: no consent may be claimed without documentation</t>
  </si>
  <si>
    <t xml:space="preserve">Whether a contact channel has been confirmed.</t>
  </si>
  <si>
    <t xml:space="preserve">Confirmed official channel, in writing.</t>
  </si>
  <si>
    <t xml:space="preserve">Review state of the record.</t>
  </si>
  <si>
    <t xml:space="preserve">Observed: pending. Other values only if the approved schema allows.</t>
  </si>
  <si>
    <t xml:space="preserve">Human reviewer decision.</t>
  </si>
  <si>
    <t xml:space="preserve">Per task brief: keep pending until evidence is established</t>
  </si>
  <si>
    <t xml:space="preserve">Date of last verification.</t>
  </si>
  <si>
    <t xml:space="preserve">Blank in all rows.</t>
  </si>
  <si>
    <t xml:space="preserve">Date of a completed verification against an authoritative source.</t>
  </si>
  <si>
    <t xml:space="preserve">Whether the record is sample data.</t>
  </si>
  <si>
    <t xml:space="preserve">Observed: False (stored as text 'False').</t>
  </si>
  <si>
    <t xml:space="preserve">Whether the record is live in the product.</t>
  </si>
  <si>
    <t xml:space="preserve">Per task brief: stays False until required evidence is established.</t>
  </si>
  <si>
    <t xml:space="preserve">Per task brief: must remain False until verified</t>
  </si>
  <si>
    <t xml:space="preserve">Handling note from the source file.</t>
  </si>
  <si>
    <t xml:space="preserve">Observed: 'Do not publish as currently authorized...'.</t>
  </si>
  <si>
    <t xml:space="preserve">Register (derived)</t>
  </si>
  <si>
    <t xml:space="preserve">Candidate-level result computed from the Evidence sheet.</t>
  </si>
  <si>
    <t xml:space="preserve">verified | partially_verified | unverified | conflicting. Rule: conflicting if any check conflicts; verified only if all 9 checks are verified or not_applicable; partially_verified if registration or address is at least partially verified; otherwise unverified.</t>
  </si>
  <si>
    <t xml:space="preserve">Formula over Verification Evidence.</t>
  </si>
  <si>
    <t xml:space="preserve">No - workbook-only field, not part of the repository schema</t>
  </si>
  <si>
    <t xml:space="preserve">Status of the 'Current registration / authorization' check.</t>
  </si>
  <si>
    <t xml:space="preserve">Same five status values.</t>
  </si>
  <si>
    <t xml:space="preserve">Lookup into Verification Evidence.</t>
  </si>
  <si>
    <t xml:space="preserve">Status of the 'Household (individual) intake' check.</t>
  </si>
  <si>
    <t xml:space="preserve">Serial in the Haryana section of the CPCB 'As on 08-06-2023' list.</t>
  </si>
  <si>
    <t xml:space="preserve">Number, or 'not found in list'.</t>
  </si>
  <si>
    <t xml:space="preserve">Read from the mirrored list on 2026-10-10.</t>
  </si>
  <si>
    <t xml:space="preserve">Installed capacity (MTA) in that list.</t>
  </si>
  <si>
    <t xml:space="preserve">Number, or n/a.</t>
  </si>
  <si>
    <t xml:space="preserve">Read from the same list; historical figure.</t>
  </si>
  <si>
    <t xml:space="preserve">Short list of discrepancies and ambiguities found.</t>
  </si>
  <si>
    <t xml:space="preserve">Cross-checked against the evidence rows.</t>
  </si>
  <si>
    <t xml:space="preserve">Status (evidence)</t>
  </si>
  <si>
    <t xml:space="preserve">Result of one check for one candidate.</t>
  </si>
  <si>
    <t xml:space="preserve">verified: sufficient current, direct evidence for that specific claim. partially_verified: some details supported, material checks remain. unverified: evidence insufficient or unavailable. conflicting: credible sources disagree. not_applicable: check genuinely does not apply.</t>
  </si>
  <si>
    <t xml:space="preserve">Evidence URL, excerpt, date accessed, confidence and next action for every row.</t>
  </si>
  <si>
    <t xml:space="preserve">Reviewer's confidence in the status.</t>
  </si>
  <si>
    <t xml:space="preserve">high | medium | low, with a written rationale.</t>
  </si>
  <si>
    <t xml:space="preserve">Rationale column.</t>
  </si>
  <si>
    <t xml:space="preserve">Whether a person must confirm.</t>
  </si>
  <si>
    <t xml:space="preserve">human_verification_required | no_follow_up_needed.</t>
  </si>
  <si>
    <t xml:space="preserve">Questions are in the Human Verification Queue.</t>
  </si>
  <si>
    <t xml:space="preserve">State of the provider's written consent to be listed.</t>
  </si>
  <si>
    <t xml:space="preserve">not_requested | requested | granted_documented | declined | no_response | not_applicable. Stays not_requested until written confirmation exists.</t>
  </si>
  <si>
    <t xml:space="preserve">Copy of the written consent.</t>
  </si>
  <si>
    <t xml:space="preserve">Documented consent needed before any public listing</t>
  </si>
  <si>
    <t xml:space="preserve">State of the queue item.</t>
  </si>
  <si>
    <t xml:space="preserve">open | in_progress | completed | blocked.</t>
  </si>
  <si>
    <t xml:space="preserve">Response and evidence received.</t>
  </si>
  <si>
    <t xml:space="preserve">Researcher's suggested ordering.</t>
  </si>
  <si>
    <t xml:space="preserve">High | Medium | Low (a suggestion, not a rule).</t>
  </si>
</sst>
</file>

<file path=xl/styles.xml><?xml version="1.0" encoding="utf-8"?>
<styleSheet xmlns="http://schemas.openxmlformats.org/spreadsheetml/2006/main">
  <numFmts count="3">
    <numFmt numFmtId="164" formatCode="General"/>
    <numFmt numFmtId="165" formatCode="General"/>
    <numFmt numFmtId="166" formatCode="yyyy\-mm\-dd"/>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404040"/>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s>
  <fills count="6">
    <fill>
      <patternFill patternType="none"/>
    </fill>
    <fill>
      <patternFill patternType="gray125"/>
    </fill>
    <fill>
      <patternFill patternType="solid">
        <fgColor rgb="FF1F3864"/>
        <bgColor rgb="FF404040"/>
      </patternFill>
    </fill>
    <fill>
      <patternFill patternType="solid">
        <fgColor rgb="FF2F5597"/>
        <bgColor rgb="FF0563C1"/>
      </patternFill>
    </fill>
    <fill>
      <patternFill patternType="solid">
        <fgColor rgb="FF7F6000"/>
        <bgColor rgb="FF833C0B"/>
      </patternFill>
    </fill>
    <fill>
      <patternFill patternType="solid">
        <fgColor rgb="FFFFF9E5"/>
        <bgColor rgb="FFFFFFFF"/>
      </patternFill>
    </fill>
  </fills>
  <borders count="3">
    <border diagonalUp="false" diagonalDown="false">
      <left/>
      <right/>
      <top/>
      <bottom/>
      <diagonal/>
    </border>
    <border diagonalUp="false" diagonalDown="false">
      <left/>
      <right/>
      <top/>
      <bottom style="medium">
        <color rgb="FF1F3864"/>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5" fontId="8" fillId="0" borderId="2" xfId="0" applyFont="true" applyBorder="true" applyAlignment="true" applyProtection="false">
      <alignment horizontal="center"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5" fontId="9" fillId="0" borderId="2" xfId="0" applyFont="true" applyBorder="true" applyAlignment="true" applyProtection="false">
      <alignment horizontal="center" vertical="top"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center" vertical="bottom" textRotation="0" wrapText="false" indent="0" shrinkToFit="false"/>
      <protection locked="true" hidden="false"/>
    </xf>
    <xf numFmtId="165" fontId="9" fillId="0" borderId="2"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6" fontId="8" fillId="0" borderId="2"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general" vertical="top" textRotation="0" wrapText="true" indent="0" shrinkToFit="false"/>
      <protection locked="true" hidden="false"/>
    </xf>
    <xf numFmtId="166" fontId="8" fillId="5" borderId="2" xfId="0" applyFont="true" applyBorder="true" applyAlignment="true" applyProtection="false">
      <alignment horizontal="general" vertical="top" textRotation="0" wrapText="true" indent="0" shrinkToFit="false"/>
      <protection locked="true" hidden="false"/>
    </xf>
    <xf numFmtId="164" fontId="8" fillId="5" borderId="2"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ont>
        <name val="Arial"/>
        <charset val="1"/>
        <family val="0"/>
        <b val="1"/>
        <color rgb="FF375623"/>
        <sz val="10"/>
      </font>
      <fill>
        <patternFill>
          <bgColor rgb="FFE2EFDA"/>
        </patternFill>
      </fill>
    </dxf>
    <dxf>
      <font>
        <name val="Arial"/>
        <charset val="1"/>
        <family val="0"/>
        <b val="1"/>
        <color rgb="FF7F6000"/>
        <sz val="10"/>
      </font>
      <fill>
        <patternFill>
          <bgColor rgb="FFFFF2CC"/>
        </patternFill>
      </fill>
    </dxf>
    <dxf>
      <font>
        <name val="Arial"/>
        <charset val="1"/>
        <family val="0"/>
        <b val="1"/>
        <color rgb="FF833C0B"/>
        <sz val="10"/>
      </font>
      <fill>
        <patternFill>
          <bgColor rgb="FFFCE4D6"/>
        </patternFill>
      </fill>
    </dxf>
    <dxf>
      <font>
        <name val="Arial"/>
        <charset val="1"/>
        <family val="0"/>
        <b val="1"/>
        <color rgb="FF9C0006"/>
        <sz val="10"/>
      </font>
      <fill>
        <patternFill>
          <bgColor rgb="FFF8CBAD"/>
        </patternFill>
      </fill>
    </dxf>
    <dxf>
      <font>
        <name val="Arial"/>
        <charset val="1"/>
        <family val="0"/>
        <b val="1"/>
        <color rgb="FF595959"/>
        <sz val="10"/>
      </font>
      <fill>
        <patternFill>
          <bgColor rgb="FFEDEDED"/>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E699"/>
          <bgColor rgb="FF000000"/>
        </patternFill>
      </fill>
    </dxf>
    <dxf>
      <fill>
        <patternFill patternType="solid">
          <fgColor rgb="FF0563C1"/>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E7E6E6"/>
          <bgColor rgb="FF000000"/>
        </patternFill>
      </fill>
    </dxf>
    <dxf>
      <fill>
        <patternFill patternType="solid">
          <fgColor rgb="FF595959"/>
          <bgColor rgb="FF000000"/>
        </patternFill>
      </fill>
    </dxf>
    <dxf>
      <fill>
        <patternFill patternType="solid">
          <fgColor rgb="FFF8CBAD"/>
          <bgColor rgb="FF000000"/>
        </patternFill>
      </fill>
    </dxf>
    <dxf>
      <fill>
        <patternFill patternType="solid">
          <fgColor rgb="FF9C0006"/>
          <bgColor rgb="FF000000"/>
        </patternFill>
      </fill>
    </dxf>
    <dxf>
      <fill>
        <patternFill patternType="solid">
          <fgColor rgb="FF2F5597"/>
          <bgColor rgb="FF000000"/>
        </patternFill>
      </fill>
    </dxf>
    <dxf>
      <fill>
        <patternFill patternType="solid">
          <fgColor rgb="FFFCE4D6"/>
          <bgColor rgb="FF000000"/>
        </patternFill>
      </fill>
    </dxf>
    <dxf>
      <fill>
        <patternFill patternType="solid">
          <fgColor rgb="FF833C0B"/>
          <bgColor rgb="FF000000"/>
        </patternFill>
      </fill>
    </dxf>
    <dxf>
      <fill>
        <patternFill>
          <bgColor rgb="FFFFE699"/>
        </patternFill>
      </fill>
    </dxf>
    <dxf>
      <font>
        <name val="Arial"/>
        <charset val="1"/>
        <family val="0"/>
        <color rgb="FF7F6000"/>
        <sz val="10"/>
      </font>
      <fill>
        <patternFill>
          <bgColor rgb="FFFFF2CC"/>
        </patternFill>
      </fill>
    </dxf>
    <dxf>
      <font>
        <name val="Arial"/>
        <charset val="1"/>
        <family val="0"/>
        <b val="1"/>
        <color rgb="FF375623"/>
        <sz val="10"/>
      </font>
      <fill>
        <patternFill>
          <bgColor rgb="FFC6E0B4"/>
        </patternFill>
      </fill>
    </dxf>
    <dxf>
      <font>
        <name val="Arial"/>
        <charset val="1"/>
        <family val="0"/>
        <color rgb="FF595959"/>
        <sz val="10"/>
      </font>
      <fill>
        <patternFill>
          <bgColor rgb="FFE7E6E6"/>
        </patternFill>
      </fill>
    </dxf>
    <dxf>
      <font>
        <name val="Arial"/>
        <charset val="1"/>
        <family val="0"/>
        <b val="1"/>
        <color rgb="FF7F6000"/>
        <sz val="10"/>
      </font>
      <fill>
        <patternFill>
          <bgColor rgb="FFFFD966"/>
        </patternFill>
      </fill>
    </dxf>
    <dxf>
      <fill>
        <patternFill patternType="solid">
          <fgColor rgb="FFFFF9E5"/>
          <bgColor rgb="FF000000"/>
        </patternFill>
      </fill>
    </dxf>
    <dxf>
      <font>
        <name val="Arial"/>
        <charset val="1"/>
        <family val="0"/>
        <b val="1"/>
        <color rgb="FF7F6000"/>
        <sz val="10"/>
      </font>
      <fill>
        <patternFill>
          <bgColor rgb="FFFFE699"/>
        </patternFill>
      </fill>
    </dxf>
    <dxf>
      <fill>
        <patternFill patternType="solid">
          <fgColor rgb="FFEDEDED"/>
          <bgColor rgb="FF000000"/>
        </patternFill>
      </fill>
    </dxf>
    <dxf>
      <font>
        <name val="Arial"/>
        <charset val="1"/>
        <family val="0"/>
        <color rgb="FF9C0006"/>
        <sz val="10"/>
      </font>
      <fill>
        <patternFill>
          <bgColor rgb="FFF8CBAD"/>
        </patternFill>
      </fill>
    </dxf>
    <dxf>
      <font>
        <name val="Arial"/>
        <charset val="1"/>
        <family val="0"/>
        <color rgb="FF595959"/>
        <sz val="10"/>
      </font>
      <fill>
        <patternFill>
          <bgColor rgb="FFEDEDE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9E5"/>
      <rgbColor rgb="FFEDEDED"/>
      <rgbColor rgb="FF660066"/>
      <rgbColor rgb="FFFF8080"/>
      <rgbColor rgb="FF0563C1"/>
      <rgbColor rgb="FFC6E0B4"/>
      <rgbColor rgb="FF000080"/>
      <rgbColor rgb="FFFF00FF"/>
      <rgbColor rgb="FFFFFF00"/>
      <rgbColor rgb="FF00FFFF"/>
      <rgbColor rgb="FF800080"/>
      <rgbColor rgb="FF800000"/>
      <rgbColor rgb="FF008080"/>
      <rgbColor rgb="FF0000FF"/>
      <rgbColor rgb="FF00CCFF"/>
      <rgbColor rgb="FFE7E6E6"/>
      <rgbColor rgb="FFE2EFDA"/>
      <rgbColor rgb="FFFFE699"/>
      <rgbColor rgb="FFFFF2CC"/>
      <rgbColor rgb="FFFCE4D6"/>
      <rgbColor rgb="FFCC99FF"/>
      <rgbColor rgb="FFF8CBAD"/>
      <rgbColor rgb="FF3366FF"/>
      <rgbColor rgb="FF33CCCC"/>
      <rgbColor rgb="FF99CC00"/>
      <rgbColor rgb="FFFFD966"/>
      <rgbColor rgb="FFFF9900"/>
      <rgbColor rgb="FFFF6600"/>
      <rgbColor rgb="FF595959"/>
      <rgbColor rgb="FF969696"/>
      <rgbColor rgb="FF1F3864"/>
      <rgbColor rgb="FF339966"/>
      <rgbColor rgb="FF003300"/>
      <rgbColor rgb="FF375623"/>
      <rgbColor rgb="FF833C0B"/>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Dictionary" displayName="tblDictionary" ref="A4:G38" headerRowCount="1" totalsRowCount="0" totalsRowShown="0">
  <autoFilter ref="A4:G38"/>
  <tableColumns count="7">
    <tableColumn id="1" name="Field"/>
    <tableColumn id="2" name="Where it appears"/>
    <tableColumn id="3" name="Meaning"/>
    <tableColumn id="4" name="Allowed / observed values"/>
    <tableColumn id="5" name="Evidence requirement"/>
    <tableColumn id="6" name="Mandatory for publication?"/>
    <tableColumn id="7" name="Needs repo confirmation?"/>
  </tableColumns>
</table>
</file>

<file path=xl/tables/table2.xml><?xml version="1.0" encoding="utf-8"?>
<table xmlns="http://schemas.openxmlformats.org/spreadsheetml/2006/main" id="2" name="tblEvidence" displayName="tblEvidence" ref="A4:P94" headerRowCount="1" totalsRowCount="0" totalsRowShown="0">
  <autoFilter ref="A4:P94"/>
  <tableColumns count="16">
    <tableColumn id="1" name="Provider ID"/>
    <tableColumn id="2" name="Provider name"/>
    <tableColumn id="3" name="Verification category"/>
    <tableColumn id="4" name="Status"/>
    <tableColumn id="5" name="Evidence source"/>
    <tableColumn id="6" name="Evidence URL"/>
    <tableColumn id="7" name="Additional sources"/>
    <tableColumn id="8" name="Evidence excerpt / finding"/>
    <tableColumn id="9" name="Date accessed"/>
    <tableColumn id="10" name="Confidence"/>
    <tableColumn id="11" name="Confidence rationale"/>
    <tableColumn id="12" name="Contradictions / limitations"/>
    <tableColumn id="13" name="Human follow-up required"/>
    <tableColumn id="14" name="Next action"/>
    <tableColumn id="15" name="Reviewer notes (human-entered)"/>
    <tableColumn id="16" name="Lookup key"/>
  </tableColumns>
</table>
</file>

<file path=xl/tables/table3.xml><?xml version="1.0" encoding="utf-8"?>
<table xmlns="http://schemas.openxmlformats.org/spreadsheetml/2006/main" id="3" name="tblQueue" displayName="tblQueue" ref="A4:O98" headerRowCount="1" totalsRowCount="0" totalsRowShown="0">
  <autoFilter ref="A4:O98"/>
  <tableColumns count="15">
    <tableColumn id="1" name="Queue ID"/>
    <tableColumn id="2" name="Provider ID"/>
    <tableColumn id="3" name="Provider name"/>
    <tableColumn id="4" name="Check category"/>
    <tableColumn id="5" name="Question requiring confirmation"/>
    <tableColumn id="6" name="Suggested priority"/>
    <tableColumn id="7" name="Responsible party"/>
    <tableColumn id="8" name="Contact method (evidence-supported)"/>
    <tableColumn id="9" name="Contact basis"/>
    <tableColumn id="10" name="Date contacted"/>
    <tableColumn id="11" name="Response date"/>
    <tableColumn id="12" name="Response / evidence received"/>
    <tableColumn id="13" name="Consent status"/>
    <tableColumn id="14" name="Follow-up action"/>
    <tableColumn id="15" name="Completion status"/>
  </tableColumns>
</table>
</file>

<file path=xl/tables/table4.xml><?xml version="1.0" encoding="utf-8"?>
<table xmlns="http://schemas.openxmlformats.org/spreadsheetml/2006/main" id="4" name="tblRegister" displayName="tblRegister" ref="A4:AB14" headerRowCount="1" totalsRowCount="0" totalsRowShown="0">
  <autoFilter ref="A4:AB14"/>
  <tableColumns count="28">
    <tableColumn id="1" name="provider_id"/>
    <tableColumn id="2" name="provider_name"/>
    <tableColumn id="3" name="provider_type_as_listed"/>
    <tableColumn id="4" name="address_as_listed"/>
    <tableColumn id="5" name="accepted_item_types"/>
    <tableColumn id="6" name="service_modes"/>
    <tableColumn id="7" name="source_url"/>
    <tableColumn id="8" name="source_title"/>
    <tableColumn id="9" name="source_accessed_at"/>
    <tableColumn id="10" name="source_publication_date"/>
    <tableColumn id="11" name="registration_status"/>
    <tableColumn id="12" name="verification_level"/>
    <tableColumn id="13" name="verification_method"/>
    <tableColumn id="14" name="verification_evidence_ref"/>
    <tableColumn id="15" name="source_license"/>
    <tableColumn id="16" name="listing_permission"/>
    <tableColumn id="17" name="contact_confirmation"/>
    <tableColumn id="18" name="review_status"/>
    <tableColumn id="19" name="last_verified_at"/>
    <tableColumn id="20" name="isSample"/>
    <tableColumn id="21" name="active"/>
    <tableColumn id="22" name="notes"/>
    <tableColumn id="23" name="derived_overall_status"/>
    <tableColumn id="24" name="derived_registration_status"/>
    <tableColumn id="25" name="derived_household_status"/>
    <tableColumn id="26" name="derived_cpcb2023_haryana_serial"/>
    <tableColumn id="27" name="derived_cpcb2023_capacity_mta"/>
    <tableColumn id="28" name="derived_flag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hspcb.gov.in/uploads/pages/ewaster_66ac829eb3965.pdf" TargetMode="External"/><Relationship Id="rId2" Type="http://schemas.openxmlformats.org/officeDocument/2006/relationships/hyperlink" Target="https://hspcb.gov.in/uploads/pages/ewaster_66ac829eb3965.pdf" TargetMode="External"/><Relationship Id="rId3" Type="http://schemas.openxmlformats.org/officeDocument/2006/relationships/hyperlink" Target="https://hspcb.gov.in/uploads/pages/ewaster_66ac829eb3965.pdf" TargetMode="External"/><Relationship Id="rId4" Type="http://schemas.openxmlformats.org/officeDocument/2006/relationships/hyperlink" Target="https://hspcb.gov.in/uploads/pages/ewaster_66ac829eb3965.pdf" TargetMode="External"/><Relationship Id="rId5" Type="http://schemas.openxmlformats.org/officeDocument/2006/relationships/hyperlink" Target="https://hspcb.gov.in/uploads/pages/ewaster_66ac829eb3965.pdf" TargetMode="External"/><Relationship Id="rId6" Type="http://schemas.openxmlformats.org/officeDocument/2006/relationships/hyperlink" Target="https://hspcb.gov.in/uploads/pages/ewaster_66ac829eb3965.pdf" TargetMode="External"/><Relationship Id="rId7" Type="http://schemas.openxmlformats.org/officeDocument/2006/relationships/hyperlink" Target="https://hspcb.gov.in/uploads/pages/ewaster_66ac829eb3965.pdf" TargetMode="External"/><Relationship Id="rId8" Type="http://schemas.openxmlformats.org/officeDocument/2006/relationships/hyperlink" Target="https://hspcb.gov.in/uploads/pages/ewaster_66ac829eb3965.pdf" TargetMode="External"/><Relationship Id="rId9" Type="http://schemas.openxmlformats.org/officeDocument/2006/relationships/hyperlink" Target="https://hspcb.gov.in/uploads/pages/ewaster_66ac829eb3965.pdf" TargetMode="External"/><Relationship Id="rId10" Type="http://schemas.openxmlformats.org/officeDocument/2006/relationships/hyperlink" Target="https://hspcb.gov.in/uploads/pages/ewaster_66ac829eb3965.pdf" TargetMode="External"/><Relationship Id="rId1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hyperlink" Target="https://www.ndmc.gov.in/pdf/cpcb_approved_list_of_e-waste_recyclers_dismantler.pdf" TargetMode="External"/><Relationship Id="rId2" Type="http://schemas.openxmlformats.org/officeDocument/2006/relationships/hyperlink" Target="https://www.ndmc.gov.in/pdf/cpcb_approved_list_of_e-waste_recyclers_dismantler.pdf" TargetMode="External"/><Relationship Id="rId3" Type="http://schemas.openxmlformats.org/officeDocument/2006/relationships/hyperlink" Target="https://www.ndmc.gov.in/pdf/cpcb_approved_list_of_e-waste_recyclers_dismantler.pdf" TargetMode="External"/><Relationship Id="rId4" Type="http://schemas.openxmlformats.org/officeDocument/2006/relationships/hyperlink" Target="https://www.eprewaste.cpcb.gov.in/" TargetMode="External"/><Relationship Id="rId5" Type="http://schemas.openxmlformats.org/officeDocument/2006/relationships/hyperlink" Target="https://www.ndmc.gov.in/pdf/cpcb_approved_list_of_e-waste_recyclers_dismantler.pdf" TargetMode="External"/><Relationship Id="rId6" Type="http://schemas.openxmlformats.org/officeDocument/2006/relationships/hyperlink" Target="https://www.eprewaste.cpcb.gov.in/" TargetMode="External"/><Relationship Id="rId7" Type="http://schemas.openxmlformats.org/officeDocument/2006/relationships/hyperlink" Target="https://www.eprewaste.cpcb.gov.in/" TargetMode="External"/><Relationship Id="rId8" Type="http://schemas.openxmlformats.org/officeDocument/2006/relationships/hyperlink" Target="https://www.ndmc.gov.in/pdf/cpcb_approved_list_of_e-waste_recyclers_dismantler.pdf" TargetMode="External"/><Relationship Id="rId9" Type="http://schemas.openxmlformats.org/officeDocument/2006/relationships/hyperlink" Target="https://www.ndmc.gov.in/pdf/cpcb_approved_list_of_e-waste_recyclers_dismantler.pdf" TargetMode="External"/><Relationship Id="rId10" Type="http://schemas.openxmlformats.org/officeDocument/2006/relationships/hyperlink" Target="https://hisenseme.com/assets/assets/img/certificate/E-waste_Management.pdf" TargetMode="External"/><Relationship Id="rId11" Type="http://schemas.openxmlformats.org/officeDocument/2006/relationships/hyperlink" Target="https://hisenseme.com/assets/assets/img/certificate/E-waste_Management.pdf" TargetMode="External"/><Relationship Id="rId12" Type="http://schemas.openxmlformats.org/officeDocument/2006/relationships/hyperlink" Target="https://m.indiamart.com/ewaste-solution" TargetMode="External"/><Relationship Id="rId13" Type="http://schemas.openxmlformats.org/officeDocument/2006/relationships/hyperlink" Target="https://m.indiamart.com/ewaste-solution" TargetMode="External"/><Relationship Id="rId14" Type="http://schemas.openxmlformats.org/officeDocument/2006/relationships/hyperlink" Target="https://m.indiamart.com/ewaste-solution" TargetMode="External"/><Relationship Id="rId15" Type="http://schemas.openxmlformats.org/officeDocument/2006/relationships/hyperlink" Target="https://m.indiamart.com/ewaste-solution" TargetMode="External"/><Relationship Id="rId16" Type="http://schemas.openxmlformats.org/officeDocument/2006/relationships/hyperlink" Target="https://www.eprewaste.cpcb.gov.in/" TargetMode="External"/><Relationship Id="rId17" Type="http://schemas.openxmlformats.org/officeDocument/2006/relationships/hyperlink" Target="https://www.ndmc.gov.in/pdf/cpcb_approved_list_of_e-waste_recyclers_dismantler.pdf" TargetMode="External"/><Relationship Id="rId18" Type="http://schemas.openxmlformats.org/officeDocument/2006/relationships/hyperlink" Target="https://www.ndmc.gov.in/pdf/cpcb_approved_list_of_e-waste_recyclers_dismantler.pdf" TargetMode="External"/><Relationship Id="rId19" Type="http://schemas.openxmlformats.org/officeDocument/2006/relationships/hyperlink" Target="https://www.eprewaste.cpcb.gov.in/" TargetMode="External"/><Relationship Id="rId20" Type="http://schemas.openxmlformats.org/officeDocument/2006/relationships/hyperlink" Target="https://www.ndmc.gov.in/pdf/cpcb_approved_list_of_e-waste_recyclers_dismantler.pdf" TargetMode="External"/><Relationship Id="rId21" Type="http://schemas.openxmlformats.org/officeDocument/2006/relationships/hyperlink" Target="https://www.ndmc.gov.in/pdf/cpcb_approved_list_of_e-waste_recyclers_dismantler.pdf" TargetMode="External"/><Relationship Id="rId22" Type="http://schemas.openxmlformats.org/officeDocument/2006/relationships/hyperlink" Target="https://www.eprewaste.cpcb.gov.in/" TargetMode="External"/><Relationship Id="rId23" Type="http://schemas.openxmlformats.org/officeDocument/2006/relationships/hyperlink" Target="https://www.ndmc.gov.in/pdf/cpcb_approved_list_of_e-waste_recyclers_dismantler.pdf" TargetMode="External"/><Relationship Id="rId24" Type="http://schemas.openxmlformats.org/officeDocument/2006/relationships/hyperlink" Target="https://www.miele.in/cs/legal/national-e-waste-recycling-program-3310" TargetMode="External"/><Relationship Id="rId25" Type="http://schemas.openxmlformats.org/officeDocument/2006/relationships/hyperlink" Target="https://www.naturevoltrecyclers.com/" TargetMode="External"/><Relationship Id="rId26" Type="http://schemas.openxmlformats.org/officeDocument/2006/relationships/hyperlink" Target="https://www.naturevoltrecyclers.com/" TargetMode="External"/><Relationship Id="rId27" Type="http://schemas.openxmlformats.org/officeDocument/2006/relationships/hyperlink" Target="https://www.naturevoltrecyclers.com/" TargetMode="External"/><Relationship Id="rId28" Type="http://schemas.openxmlformats.org/officeDocument/2006/relationships/hyperlink" Target="https://www.naturevoltrecyclers.com/" TargetMode="External"/><Relationship Id="rId29" Type="http://schemas.openxmlformats.org/officeDocument/2006/relationships/hyperlink" Target="https://www.naturevoltrecyclers.com/" TargetMode="External"/><Relationship Id="rId30" Type="http://schemas.openxmlformats.org/officeDocument/2006/relationships/hyperlink" Target="https://www.eprewaste.cpcb.gov.in/" TargetMode="External"/><Relationship Id="rId31" Type="http://schemas.openxmlformats.org/officeDocument/2006/relationships/hyperlink" Target="https://www.ndmc.gov.in/pdf/cpcb_approved_list_of_e-waste_recyclers_dismantler.pdf" TargetMode="External"/><Relationship Id="rId32" Type="http://schemas.openxmlformats.org/officeDocument/2006/relationships/hyperlink" Target="https://www.ndmc.gov.in/pdf/cpcb_approved_list_of_e-waste_recyclers_dismantler.pdf" TargetMode="External"/><Relationship Id="rId33" Type="http://schemas.openxmlformats.org/officeDocument/2006/relationships/hyperlink" Target="https://www.eprewaste.cpcb.gov.in/" TargetMode="External"/><Relationship Id="rId34" Type="http://schemas.openxmlformats.org/officeDocument/2006/relationships/hyperlink" Target="https://www.ndmc.gov.in/pdf/cpcb_approved_list_of_e-waste_recyclers_dismantler.pdf" TargetMode="External"/><Relationship Id="rId35" Type="http://schemas.openxmlformats.org/officeDocument/2006/relationships/hyperlink" Target="https://www.eurekaforbes.com/media/E-waste_awareness_of_collection_Mecahnisim.pdf" TargetMode="External"/><Relationship Id="rId36" Type="http://schemas.openxmlformats.org/officeDocument/2006/relationships/hyperlink" Target="https://www.greentribunal.gov.in/sites/default/files/news_updates/Reply%20of%20HSPCB%20in%20OA%20No.%2088%20of%202025%20(Devidas%20Khatri%20Vs.%20UOI%20%26%20Ors.).pdf" TargetMode="External"/><Relationship Id="rId37" Type="http://schemas.openxmlformats.org/officeDocument/2006/relationships/hyperlink" Target="https://www.eurekaforbes.com/media/E-waste_awareness_of_collection_Mecahnisim.pdf" TargetMode="External"/><Relationship Id="rId38" Type="http://schemas.openxmlformats.org/officeDocument/2006/relationships/hyperlink" Target="https://www.eurekaforbes.com/media/E-waste_awareness_of_collection_Mecahnisim.pdf" TargetMode="External"/><Relationship Id="rId39" Type="http://schemas.openxmlformats.org/officeDocument/2006/relationships/hyperlink" Target="https://www.eurekaforbes.com/media/E-waste_awareness_of_collection_Mecahnisim.pdf" TargetMode="External"/><Relationship Id="rId40" Type="http://schemas.openxmlformats.org/officeDocument/2006/relationships/hyperlink" Target="https://www.eprewaste.cpcb.gov.in/" TargetMode="External"/><Relationship Id="rId41" Type="http://schemas.openxmlformats.org/officeDocument/2006/relationships/hyperlink" Target="https://www.ndmc.gov.in/pdf/cpcb_approved_list_of_e-waste_recyclers_dismantler.pdf" TargetMode="External"/><Relationship Id="rId42" Type="http://schemas.openxmlformats.org/officeDocument/2006/relationships/hyperlink" Target="https://www.ndmc.gov.in/pdf/cpcb_approved_list_of_e-waste_recyclers_dismantler.pdf" TargetMode="External"/><Relationship Id="rId43" Type="http://schemas.openxmlformats.org/officeDocument/2006/relationships/hyperlink" Target="https://www.eprewaste.cpcb.gov.in/" TargetMode="External"/><Relationship Id="rId44" Type="http://schemas.openxmlformats.org/officeDocument/2006/relationships/hyperlink" Target="https://www.ndmc.gov.in/pdf/cpcb_approved_list_of_e-waste_recyclers_dismantler.pdf" TargetMode="External"/><Relationship Id="rId45" Type="http://schemas.openxmlformats.org/officeDocument/2006/relationships/hyperlink" Target="https://www.ndmc.gov.in/pdf/cpcb_approved_list_of_e-waste_recyclers_dismantler.pdf" TargetMode="External"/><Relationship Id="rId46" Type="http://schemas.openxmlformats.org/officeDocument/2006/relationships/hyperlink" Target="https://www.eprewaste.cpcb.gov.in/" TargetMode="External"/><Relationship Id="rId47"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H7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6"/>
    <col collapsed="false" customWidth="true" hidden="false" outlineLevel="0" max="9" min="9" style="0" width="4"/>
  </cols>
  <sheetData>
    <row r="1" customFormat="false" ht="24" hidden="false" customHeight="tru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c r="B5" s="4"/>
      <c r="C5" s="4"/>
      <c r="D5" s="4"/>
      <c r="E5" s="4"/>
      <c r="F5" s="4"/>
      <c r="G5" s="4"/>
      <c r="H5" s="4"/>
    </row>
    <row r="6" customFormat="false" ht="30" hidden="false" customHeight="true" outlineLevel="0" collapsed="false">
      <c r="A6" s="5" t="s">
        <v>4</v>
      </c>
      <c r="B6" s="6" t="s">
        <v>5</v>
      </c>
    </row>
    <row r="7" customFormat="false" ht="15" hidden="false" customHeight="false" outlineLevel="0" collapsed="false">
      <c r="A7" s="7" t="s">
        <v>6</v>
      </c>
      <c r="B7" s="8" t="n">
        <f aca="false">COUNTIF('Candidate Register'!$W$5:$W$14,"verified")</f>
        <v>0</v>
      </c>
    </row>
    <row r="8" customFormat="false" ht="15" hidden="false" customHeight="false" outlineLevel="0" collapsed="false">
      <c r="A8" s="7" t="s">
        <v>7</v>
      </c>
      <c r="B8" s="8" t="n">
        <f aca="false">COUNTIF('Candidate Register'!$W$5:$W$14,"partially_verified")</f>
        <v>3</v>
      </c>
    </row>
    <row r="9" customFormat="false" ht="15" hidden="false" customHeight="false" outlineLevel="0" collapsed="false">
      <c r="A9" s="7" t="s">
        <v>8</v>
      </c>
      <c r="B9" s="8" t="n">
        <f aca="false">COUNTIF('Candidate Register'!$W$5:$W$14,"unverified")</f>
        <v>7</v>
      </c>
    </row>
    <row r="10" customFormat="false" ht="15" hidden="false" customHeight="false" outlineLevel="0" collapsed="false">
      <c r="A10" s="7" t="s">
        <v>9</v>
      </c>
      <c r="B10" s="8" t="n">
        <f aca="false">COUNTIF('Candidate Register'!$W$5:$W$14,"conflicting")</f>
        <v>0</v>
      </c>
    </row>
    <row r="11" customFormat="false" ht="15" hidden="false" customHeight="false" outlineLevel="0" collapsed="false">
      <c r="A11" s="9" t="s">
        <v>10</v>
      </c>
      <c r="B11" s="10" t="n">
        <f aca="false">COUNTA('Candidate Register'!$A$5:$A$14)</f>
        <v>10</v>
      </c>
    </row>
    <row r="13" customFormat="false" ht="15" hidden="false" customHeight="false" outlineLevel="0" collapsed="false">
      <c r="A13" s="3" t="s">
        <v>11</v>
      </c>
      <c r="B13" s="4"/>
      <c r="C13" s="4"/>
      <c r="D13" s="4"/>
      <c r="E13" s="4"/>
      <c r="F13" s="4"/>
      <c r="G13" s="4"/>
      <c r="H13" s="4"/>
    </row>
    <row r="14" customFormat="false" ht="30" hidden="false" customHeight="true" outlineLevel="0" collapsed="false">
      <c r="A14" s="5" t="s">
        <v>12</v>
      </c>
      <c r="B14" s="6" t="s">
        <v>6</v>
      </c>
      <c r="C14" s="6" t="s">
        <v>7</v>
      </c>
      <c r="D14" s="6" t="s">
        <v>8</v>
      </c>
      <c r="E14" s="6" t="s">
        <v>9</v>
      </c>
      <c r="F14" s="6" t="s">
        <v>13</v>
      </c>
      <c r="G14" s="6" t="s">
        <v>14</v>
      </c>
      <c r="H14" s="6" t="s">
        <v>15</v>
      </c>
    </row>
    <row r="15" customFormat="false" ht="15" hidden="false" customHeight="false" outlineLevel="0" collapsed="false">
      <c r="A15" s="11" t="s">
        <v>16</v>
      </c>
      <c r="B15" s="12" t="n">
        <f aca="false">COUNTIFS('Verification Evidence'!$C$5:$C$94,$A15,'Verification Evidence'!$D$5:$D$94,"verified")</f>
        <v>0</v>
      </c>
      <c r="C15" s="12" t="n">
        <f aca="false">COUNTIFS('Verification Evidence'!$C$5:$C$94,$A15,'Verification Evidence'!$D$5:$D$94,"partially_verified")</f>
        <v>9</v>
      </c>
      <c r="D15" s="12" t="n">
        <f aca="false">COUNTIFS('Verification Evidence'!$C$5:$C$94,$A15,'Verification Evidence'!$D$5:$D$94,"unverified")</f>
        <v>1</v>
      </c>
      <c r="E15" s="12" t="n">
        <f aca="false">COUNTIFS('Verification Evidence'!$C$5:$C$94,$A15,'Verification Evidence'!$D$5:$D$94,"conflicting")</f>
        <v>0</v>
      </c>
      <c r="F15" s="12" t="n">
        <f aca="false">COUNTIFS('Verification Evidence'!$C$5:$C$94,$A15,'Verification Evidence'!$D$5:$D$94,"not_applicable")</f>
        <v>0</v>
      </c>
      <c r="G15" s="13" t="n">
        <f aca="false">SUM(B15:F15)</f>
        <v>10</v>
      </c>
      <c r="H15" s="13" t="n">
        <f aca="false">G15-B15-F15</f>
        <v>10</v>
      </c>
    </row>
    <row r="16" customFormat="false" ht="15" hidden="false" customHeight="false" outlineLevel="0" collapsed="false">
      <c r="A16" s="11" t="s">
        <v>17</v>
      </c>
      <c r="B16" s="12" t="n">
        <f aca="false">COUNTIFS('Verification Evidence'!$C$5:$C$94,$A16,'Verification Evidence'!$D$5:$D$94,"verified")</f>
        <v>0</v>
      </c>
      <c r="C16" s="12" t="n">
        <f aca="false">COUNTIFS('Verification Evidence'!$C$5:$C$94,$A16,'Verification Evidence'!$D$5:$D$94,"partially_verified")</f>
        <v>3</v>
      </c>
      <c r="D16" s="12" t="n">
        <f aca="false">COUNTIFS('Verification Evidence'!$C$5:$C$94,$A16,'Verification Evidence'!$D$5:$D$94,"unverified")</f>
        <v>7</v>
      </c>
      <c r="E16" s="12" t="n">
        <f aca="false">COUNTIFS('Verification Evidence'!$C$5:$C$94,$A16,'Verification Evidence'!$D$5:$D$94,"conflicting")</f>
        <v>0</v>
      </c>
      <c r="F16" s="12" t="n">
        <f aca="false">COUNTIFS('Verification Evidence'!$C$5:$C$94,$A16,'Verification Evidence'!$D$5:$D$94,"not_applicable")</f>
        <v>0</v>
      </c>
      <c r="G16" s="13" t="n">
        <f aca="false">SUM(B16:F16)</f>
        <v>10</v>
      </c>
      <c r="H16" s="13" t="n">
        <f aca="false">G16-B16-F16</f>
        <v>10</v>
      </c>
    </row>
    <row r="17" customFormat="false" ht="15" hidden="false" customHeight="false" outlineLevel="0" collapsed="false">
      <c r="A17" s="11" t="s">
        <v>18</v>
      </c>
      <c r="B17" s="12" t="n">
        <f aca="false">COUNTIFS('Verification Evidence'!$C$5:$C$94,$A17,'Verification Evidence'!$D$5:$D$94,"verified")</f>
        <v>0</v>
      </c>
      <c r="C17" s="12" t="n">
        <f aca="false">COUNTIFS('Verification Evidence'!$C$5:$C$94,$A17,'Verification Evidence'!$D$5:$D$94,"partially_verified")</f>
        <v>2</v>
      </c>
      <c r="D17" s="12" t="n">
        <f aca="false">COUNTIFS('Verification Evidence'!$C$5:$C$94,$A17,'Verification Evidence'!$D$5:$D$94,"unverified")</f>
        <v>8</v>
      </c>
      <c r="E17" s="12" t="n">
        <f aca="false">COUNTIFS('Verification Evidence'!$C$5:$C$94,$A17,'Verification Evidence'!$D$5:$D$94,"conflicting")</f>
        <v>0</v>
      </c>
      <c r="F17" s="12" t="n">
        <f aca="false">COUNTIFS('Verification Evidence'!$C$5:$C$94,$A17,'Verification Evidence'!$D$5:$D$94,"not_applicable")</f>
        <v>0</v>
      </c>
      <c r="G17" s="13" t="n">
        <f aca="false">SUM(B17:F17)</f>
        <v>10</v>
      </c>
      <c r="H17" s="13" t="n">
        <f aca="false">G17-B17-F17</f>
        <v>10</v>
      </c>
    </row>
    <row r="18" customFormat="false" ht="15" hidden="false" customHeight="false" outlineLevel="0" collapsed="false">
      <c r="A18" s="11" t="s">
        <v>19</v>
      </c>
      <c r="B18" s="12" t="n">
        <f aca="false">COUNTIFS('Verification Evidence'!$C$5:$C$94,$A18,'Verification Evidence'!$D$5:$D$94,"verified")</f>
        <v>0</v>
      </c>
      <c r="C18" s="12" t="n">
        <f aca="false">COUNTIFS('Verification Evidence'!$C$5:$C$94,$A18,'Verification Evidence'!$D$5:$D$94,"partially_verified")</f>
        <v>0</v>
      </c>
      <c r="D18" s="12" t="n">
        <f aca="false">COUNTIFS('Verification Evidence'!$C$5:$C$94,$A18,'Verification Evidence'!$D$5:$D$94,"unverified")</f>
        <v>10</v>
      </c>
      <c r="E18" s="12" t="n">
        <f aca="false">COUNTIFS('Verification Evidence'!$C$5:$C$94,$A18,'Verification Evidence'!$D$5:$D$94,"conflicting")</f>
        <v>0</v>
      </c>
      <c r="F18" s="12" t="n">
        <f aca="false">COUNTIFS('Verification Evidence'!$C$5:$C$94,$A18,'Verification Evidence'!$D$5:$D$94,"not_applicable")</f>
        <v>0</v>
      </c>
      <c r="G18" s="13" t="n">
        <f aca="false">SUM(B18:F18)</f>
        <v>10</v>
      </c>
      <c r="H18" s="13" t="n">
        <f aca="false">G18-B18-F18</f>
        <v>10</v>
      </c>
    </row>
    <row r="19" customFormat="false" ht="15" hidden="false" customHeight="false" outlineLevel="0" collapsed="false">
      <c r="A19" s="11" t="s">
        <v>20</v>
      </c>
      <c r="B19" s="12" t="n">
        <f aca="false">COUNTIFS('Verification Evidence'!$C$5:$C$94,$A19,'Verification Evidence'!$D$5:$D$94,"verified")</f>
        <v>0</v>
      </c>
      <c r="C19" s="12" t="n">
        <f aca="false">COUNTIFS('Verification Evidence'!$C$5:$C$94,$A19,'Verification Evidence'!$D$5:$D$94,"partially_verified")</f>
        <v>2</v>
      </c>
      <c r="D19" s="12" t="n">
        <f aca="false">COUNTIFS('Verification Evidence'!$C$5:$C$94,$A19,'Verification Evidence'!$D$5:$D$94,"unverified")</f>
        <v>8</v>
      </c>
      <c r="E19" s="12" t="n">
        <f aca="false">COUNTIFS('Verification Evidence'!$C$5:$C$94,$A19,'Verification Evidence'!$D$5:$D$94,"conflicting")</f>
        <v>0</v>
      </c>
      <c r="F19" s="12" t="n">
        <f aca="false">COUNTIFS('Verification Evidence'!$C$5:$C$94,$A19,'Verification Evidence'!$D$5:$D$94,"not_applicable")</f>
        <v>0</v>
      </c>
      <c r="G19" s="13" t="n">
        <f aca="false">SUM(B19:F19)</f>
        <v>10</v>
      </c>
      <c r="H19" s="13" t="n">
        <f aca="false">G19-B19-F19</f>
        <v>10</v>
      </c>
    </row>
    <row r="20" customFormat="false" ht="15" hidden="false" customHeight="false" outlineLevel="0" collapsed="false">
      <c r="A20" s="11" t="s">
        <v>21</v>
      </c>
      <c r="B20" s="12" t="n">
        <f aca="false">COUNTIFS('Verification Evidence'!$C$5:$C$94,$A20,'Verification Evidence'!$D$5:$D$94,"verified")</f>
        <v>0</v>
      </c>
      <c r="C20" s="12" t="n">
        <f aca="false">COUNTIFS('Verification Evidence'!$C$5:$C$94,$A20,'Verification Evidence'!$D$5:$D$94,"partially_verified")</f>
        <v>0</v>
      </c>
      <c r="D20" s="12" t="n">
        <f aca="false">COUNTIFS('Verification Evidence'!$C$5:$C$94,$A20,'Verification Evidence'!$D$5:$D$94,"unverified")</f>
        <v>10</v>
      </c>
      <c r="E20" s="12" t="n">
        <f aca="false">COUNTIFS('Verification Evidence'!$C$5:$C$94,$A20,'Verification Evidence'!$D$5:$D$94,"conflicting")</f>
        <v>0</v>
      </c>
      <c r="F20" s="12" t="n">
        <f aca="false">COUNTIFS('Verification Evidence'!$C$5:$C$94,$A20,'Verification Evidence'!$D$5:$D$94,"not_applicable")</f>
        <v>0</v>
      </c>
      <c r="G20" s="13" t="n">
        <f aca="false">SUM(B20:F20)</f>
        <v>10</v>
      </c>
      <c r="H20" s="13" t="n">
        <f aca="false">G20-B20-F20</f>
        <v>10</v>
      </c>
    </row>
    <row r="21" customFormat="false" ht="15" hidden="false" customHeight="false" outlineLevel="0" collapsed="false">
      <c r="A21" s="11" t="s">
        <v>22</v>
      </c>
      <c r="B21" s="12" t="n">
        <f aca="false">COUNTIFS('Verification Evidence'!$C$5:$C$94,$A21,'Verification Evidence'!$D$5:$D$94,"verified")</f>
        <v>0</v>
      </c>
      <c r="C21" s="12" t="n">
        <f aca="false">COUNTIFS('Verification Evidence'!$C$5:$C$94,$A21,'Verification Evidence'!$D$5:$D$94,"partially_verified")</f>
        <v>2</v>
      </c>
      <c r="D21" s="12" t="n">
        <f aca="false">COUNTIFS('Verification Evidence'!$C$5:$C$94,$A21,'Verification Evidence'!$D$5:$D$94,"unverified")</f>
        <v>8</v>
      </c>
      <c r="E21" s="12" t="n">
        <f aca="false">COUNTIFS('Verification Evidence'!$C$5:$C$94,$A21,'Verification Evidence'!$D$5:$D$94,"conflicting")</f>
        <v>0</v>
      </c>
      <c r="F21" s="12" t="n">
        <f aca="false">COUNTIFS('Verification Evidence'!$C$5:$C$94,$A21,'Verification Evidence'!$D$5:$D$94,"not_applicable")</f>
        <v>0</v>
      </c>
      <c r="G21" s="13" t="n">
        <f aca="false">SUM(B21:F21)</f>
        <v>10</v>
      </c>
      <c r="H21" s="13" t="n">
        <f aca="false">G21-B21-F21</f>
        <v>10</v>
      </c>
    </row>
    <row r="22" customFormat="false" ht="15" hidden="false" customHeight="false" outlineLevel="0" collapsed="false">
      <c r="A22" s="11" t="s">
        <v>23</v>
      </c>
      <c r="B22" s="12" t="n">
        <f aca="false">COUNTIFS('Verification Evidence'!$C$5:$C$94,$A22,'Verification Evidence'!$D$5:$D$94,"verified")</f>
        <v>0</v>
      </c>
      <c r="C22" s="12" t="n">
        <f aca="false">COUNTIFS('Verification Evidence'!$C$5:$C$94,$A22,'Verification Evidence'!$D$5:$D$94,"partially_verified")</f>
        <v>0</v>
      </c>
      <c r="D22" s="12" t="n">
        <f aca="false">COUNTIFS('Verification Evidence'!$C$5:$C$94,$A22,'Verification Evidence'!$D$5:$D$94,"unverified")</f>
        <v>10</v>
      </c>
      <c r="E22" s="12" t="n">
        <f aca="false">COUNTIFS('Verification Evidence'!$C$5:$C$94,$A22,'Verification Evidence'!$D$5:$D$94,"conflicting")</f>
        <v>0</v>
      </c>
      <c r="F22" s="12" t="n">
        <f aca="false">COUNTIFS('Verification Evidence'!$C$5:$C$94,$A22,'Verification Evidence'!$D$5:$D$94,"not_applicable")</f>
        <v>0</v>
      </c>
      <c r="G22" s="13" t="n">
        <f aca="false">SUM(B22:F22)</f>
        <v>10</v>
      </c>
      <c r="H22" s="13" t="n">
        <f aca="false">G22-B22-F22</f>
        <v>10</v>
      </c>
    </row>
    <row r="23" customFormat="false" ht="15" hidden="false" customHeight="false" outlineLevel="0" collapsed="false">
      <c r="A23" s="11" t="s">
        <v>24</v>
      </c>
      <c r="B23" s="12" t="n">
        <f aca="false">COUNTIFS('Verification Evidence'!$C$5:$C$94,$A23,'Verification Evidence'!$D$5:$D$94,"verified")</f>
        <v>0</v>
      </c>
      <c r="C23" s="12" t="n">
        <f aca="false">COUNTIFS('Verification Evidence'!$C$5:$C$94,$A23,'Verification Evidence'!$D$5:$D$94,"partially_verified")</f>
        <v>0</v>
      </c>
      <c r="D23" s="12" t="n">
        <f aca="false">COUNTIFS('Verification Evidence'!$C$5:$C$94,$A23,'Verification Evidence'!$D$5:$D$94,"unverified")</f>
        <v>10</v>
      </c>
      <c r="E23" s="12" t="n">
        <f aca="false">COUNTIFS('Verification Evidence'!$C$5:$C$94,$A23,'Verification Evidence'!$D$5:$D$94,"conflicting")</f>
        <v>0</v>
      </c>
      <c r="F23" s="12" t="n">
        <f aca="false">COUNTIFS('Verification Evidence'!$C$5:$C$94,$A23,'Verification Evidence'!$D$5:$D$94,"not_applicable")</f>
        <v>0</v>
      </c>
      <c r="G23" s="13" t="n">
        <f aca="false">SUM(B23:F23)</f>
        <v>10</v>
      </c>
      <c r="H23" s="13" t="n">
        <f aca="false">G23-B23-F23</f>
        <v>10</v>
      </c>
    </row>
    <row r="24" customFormat="false" ht="15" hidden="false" customHeight="false" outlineLevel="0" collapsed="false">
      <c r="A24" s="14" t="s">
        <v>25</v>
      </c>
      <c r="B24" s="13" t="n">
        <f aca="false">SUM(B15:B23)</f>
        <v>0</v>
      </c>
      <c r="C24" s="13" t="n">
        <f aca="false">SUM(C15:C23)</f>
        <v>18</v>
      </c>
      <c r="D24" s="13" t="n">
        <f aca="false">SUM(D15:D23)</f>
        <v>72</v>
      </c>
      <c r="E24" s="13" t="n">
        <f aca="false">SUM(E15:E23)</f>
        <v>0</v>
      </c>
      <c r="F24" s="13" t="n">
        <f aca="false">SUM(F15:F23)</f>
        <v>0</v>
      </c>
      <c r="G24" s="13" t="n">
        <f aca="false">SUM(G15:G23)</f>
        <v>90</v>
      </c>
      <c r="H24" s="13" t="n">
        <f aca="false">SUM(H15:H23)</f>
        <v>90</v>
      </c>
    </row>
    <row r="25" customFormat="false" ht="15" hidden="false" customHeight="false" outlineLevel="0" collapsed="false">
      <c r="A25" s="2" t="s">
        <v>26</v>
      </c>
    </row>
    <row r="27" customFormat="false" ht="15" hidden="false" customHeight="false" outlineLevel="0" collapsed="false">
      <c r="A27" s="3" t="s">
        <v>27</v>
      </c>
      <c r="B27" s="4"/>
      <c r="C27" s="4"/>
      <c r="D27" s="4"/>
      <c r="E27" s="4"/>
      <c r="F27" s="4"/>
      <c r="G27" s="4"/>
      <c r="H27" s="4"/>
    </row>
    <row r="28" customFormat="false" ht="30" hidden="false" customHeight="true" outlineLevel="0" collapsed="false">
      <c r="A28" s="5" t="s">
        <v>28</v>
      </c>
      <c r="B28" s="6" t="s">
        <v>29</v>
      </c>
      <c r="C28" s="6" t="s">
        <v>15</v>
      </c>
      <c r="D28" s="6" t="s">
        <v>30</v>
      </c>
    </row>
    <row r="29" customFormat="false" ht="15" hidden="false" customHeight="false" outlineLevel="0" collapsed="false">
      <c r="A29" s="11" t="s">
        <v>31</v>
      </c>
      <c r="B29" s="12" t="n">
        <f aca="false">B16</f>
        <v>0</v>
      </c>
      <c r="C29" s="12" t="n">
        <f aca="false">H16</f>
        <v>10</v>
      </c>
      <c r="D29" s="12" t="n">
        <f aca="false">C16</f>
        <v>3</v>
      </c>
    </row>
    <row r="30" customFormat="false" ht="15" hidden="false" customHeight="false" outlineLevel="0" collapsed="false">
      <c r="A30" s="11" t="s">
        <v>32</v>
      </c>
      <c r="B30" s="12" t="n">
        <f aca="false">B18</f>
        <v>0</v>
      </c>
      <c r="C30" s="12" t="n">
        <f aca="false">H18</f>
        <v>10</v>
      </c>
      <c r="D30" s="12" t="n">
        <f aca="false">C18</f>
        <v>0</v>
      </c>
    </row>
    <row r="31" customFormat="false" ht="15" hidden="false" customHeight="false" outlineLevel="0" collapsed="false">
      <c r="A31" s="11" t="s">
        <v>22</v>
      </c>
      <c r="B31" s="12" t="n">
        <f aca="false">B21</f>
        <v>0</v>
      </c>
      <c r="C31" s="12" t="n">
        <f aca="false">H21</f>
        <v>10</v>
      </c>
      <c r="D31" s="12" t="n">
        <f aca="false">C21</f>
        <v>2</v>
      </c>
    </row>
    <row r="32" customFormat="false" ht="15" hidden="false" customHeight="false" outlineLevel="0" collapsed="false">
      <c r="A32" s="11" t="s">
        <v>23</v>
      </c>
      <c r="B32" s="12" t="n">
        <f aca="false">B22</f>
        <v>0</v>
      </c>
      <c r="C32" s="12" t="n">
        <f aca="false">H22</f>
        <v>10</v>
      </c>
      <c r="D32" s="12" t="n">
        <f aca="false">C22</f>
        <v>0</v>
      </c>
    </row>
    <row r="33" customFormat="false" ht="15" hidden="false" customHeight="false" outlineLevel="0" collapsed="false">
      <c r="A33" s="11" t="s">
        <v>33</v>
      </c>
      <c r="B33" s="12" t="n">
        <f aca="false">B23</f>
        <v>0</v>
      </c>
      <c r="C33" s="12" t="n">
        <f aca="false">H23</f>
        <v>10</v>
      </c>
      <c r="D33" s="12" t="n">
        <f aca="false">C23</f>
        <v>0</v>
      </c>
    </row>
    <row r="35" customFormat="false" ht="15" hidden="false" customHeight="false" outlineLevel="0" collapsed="false">
      <c r="A35" s="3" t="s">
        <v>34</v>
      </c>
      <c r="B35" s="4"/>
      <c r="C35" s="4"/>
      <c r="D35" s="4"/>
      <c r="E35" s="4"/>
      <c r="F35" s="4"/>
      <c r="G35" s="4"/>
      <c r="H35" s="4"/>
    </row>
    <row r="36" customFormat="false" ht="30" hidden="false" customHeight="true" outlineLevel="0" collapsed="false">
      <c r="A36" s="5" t="s">
        <v>28</v>
      </c>
      <c r="B36" s="6" t="s">
        <v>35</v>
      </c>
      <c r="C36" s="6" t="s">
        <v>36</v>
      </c>
    </row>
    <row r="37" customFormat="false" ht="15" hidden="false" customHeight="false" outlineLevel="0" collapsed="false">
      <c r="A37" s="7" t="s">
        <v>37</v>
      </c>
      <c r="B37" s="13" t="n">
        <f aca="false">COUNTIF('Candidate Register'!$U$5:$U$14,"True")</f>
        <v>0</v>
      </c>
      <c r="C37" s="12" t="n">
        <v>0</v>
      </c>
    </row>
    <row r="38" customFormat="false" ht="15" hidden="false" customHeight="false" outlineLevel="0" collapsed="false">
      <c r="A38" s="7" t="s">
        <v>38</v>
      </c>
      <c r="B38" s="13" t="n">
        <f aca="false">COUNTA('Candidate Register'!$R$5:$R$14)-COUNTIF('Candidate Register'!$R$5:$R$14,"pending")</f>
        <v>0</v>
      </c>
      <c r="C38" s="12" t="n">
        <v>0</v>
      </c>
    </row>
    <row r="39" customFormat="false" ht="15" hidden="false" customHeight="false" outlineLevel="0" collapsed="false">
      <c r="A39" s="7" t="s">
        <v>39</v>
      </c>
      <c r="B39" s="13" t="n">
        <f aca="false">COUNTIF('Candidate Register'!$T$5:$T$14,"True")</f>
        <v>0</v>
      </c>
      <c r="C39" s="12" t="n">
        <v>0</v>
      </c>
    </row>
    <row r="40" customFormat="false" ht="23.85" hidden="false" customHeight="false" outlineLevel="0" collapsed="false">
      <c r="A40" s="7" t="s">
        <v>40</v>
      </c>
      <c r="B40" s="13" t="n">
        <f aca="false">COUNTA('Candidate Register'!$P$5:$P$14)-COUNTIF('Candidate Register'!$P$5:$P$14,"pending_clarification")</f>
        <v>0</v>
      </c>
      <c r="C40" s="12" t="n">
        <v>0</v>
      </c>
    </row>
    <row r="41" customFormat="false" ht="23.85" hidden="false" customHeight="false" outlineLevel="0" collapsed="false">
      <c r="A41" s="7" t="s">
        <v>41</v>
      </c>
      <c r="B41" s="13" t="n">
        <f aca="false">SUMPRODUCT(--(COUNTIFS('Verification Evidence'!$A$5:$A$94,'Candidate Register'!$A$5:$A$14,'Verification Evidence'!$M$5:$M$94,"human_verification_required")&gt;0))</f>
        <v>10</v>
      </c>
      <c r="C41" s="12" t="n">
        <v>10</v>
      </c>
    </row>
    <row r="43" customFormat="false" ht="15" hidden="false" customHeight="false" outlineLevel="0" collapsed="false">
      <c r="A43" s="3" t="s">
        <v>42</v>
      </c>
      <c r="B43" s="4"/>
      <c r="C43" s="4"/>
      <c r="D43" s="4"/>
      <c r="E43" s="4"/>
      <c r="F43" s="4"/>
      <c r="G43" s="4"/>
      <c r="H43" s="4"/>
    </row>
    <row r="44" customFormat="false" ht="30" hidden="false" customHeight="true" outlineLevel="0" collapsed="false">
      <c r="A44" s="5" t="s">
        <v>28</v>
      </c>
      <c r="B44" s="6" t="s">
        <v>43</v>
      </c>
      <c r="C44" s="6" t="s">
        <v>36</v>
      </c>
    </row>
    <row r="45" customFormat="false" ht="15" hidden="false" customHeight="false" outlineLevel="0" collapsed="false">
      <c r="A45" s="7" t="s">
        <v>44</v>
      </c>
      <c r="B45" s="13" t="n">
        <f aca="false">COUNTA('Candidate Register'!$A$5:$A$14)</f>
        <v>10</v>
      </c>
      <c r="C45" s="12" t="n">
        <v>10</v>
      </c>
    </row>
    <row r="46" customFormat="false" ht="15" hidden="false" customHeight="false" outlineLevel="0" collapsed="false">
      <c r="A46" s="7" t="s">
        <v>45</v>
      </c>
      <c r="B46" s="13" t="n">
        <f aca="false">SUMPRODUCT(1/COUNTIF('Candidate Register'!$A$5:$A$14,'Candidate Register'!$A$5:$A$14))</f>
        <v>10</v>
      </c>
      <c r="C46" s="12" t="n">
        <v>10</v>
      </c>
    </row>
    <row r="47" customFormat="false" ht="15" hidden="false" customHeight="false" outlineLevel="0" collapsed="false">
      <c r="A47" s="7" t="s">
        <v>46</v>
      </c>
      <c r="B47" s="13" t="n">
        <f aca="false">COUNTA('Verification Evidence'!$A$5:$A$94)</f>
        <v>90</v>
      </c>
      <c r="C47" s="12" t="n">
        <v>90</v>
      </c>
    </row>
    <row r="48" customFormat="false" ht="15" hidden="false" customHeight="false" outlineLevel="0" collapsed="false">
      <c r="A48" s="7" t="s">
        <v>47</v>
      </c>
      <c r="B48" s="13" t="n">
        <f aca="false">SUMPRODUCT(--(COUNTIF('Verification Evidence'!$A$5:$A$94,'Candidate Register'!$A$5:$A$14)=0))</f>
        <v>0</v>
      </c>
      <c r="C48" s="12" t="n">
        <v>0</v>
      </c>
    </row>
    <row r="49" customFormat="false" ht="15" hidden="false" customHeight="false" outlineLevel="0" collapsed="false">
      <c r="A49" s="7" t="s">
        <v>48</v>
      </c>
      <c r="B49" s="13" t="n">
        <f aca="false">SUMPRODUCT(--(COUNTIF('Candidate Register'!$A$5:$A$14,'Verification Evidence'!$A$5:$A$94)=0))</f>
        <v>0</v>
      </c>
      <c r="C49" s="12" t="n">
        <v>0</v>
      </c>
    </row>
    <row r="50" customFormat="false" ht="15" hidden="false" customHeight="false" outlineLevel="0" collapsed="false">
      <c r="A50" s="7" t="s">
        <v>49</v>
      </c>
      <c r="B50" s="13" t="n">
        <f aca="false">COUNTBLANK('Verification Evidence'!$D$5:$D$94)</f>
        <v>0</v>
      </c>
      <c r="C50" s="12" t="n">
        <v>0</v>
      </c>
    </row>
    <row r="51" customFormat="false" ht="23.85" hidden="false" customHeight="false" outlineLevel="0" collapsed="false">
      <c r="A51" s="7" t="s">
        <v>50</v>
      </c>
      <c r="B51" s="13" t="n">
        <f aca="false">SUMPRODUCT(--('Verification Evidence'!$E$5:$E$94=""))</f>
        <v>0</v>
      </c>
      <c r="C51" s="12" t="n">
        <v>0</v>
      </c>
    </row>
    <row r="52" customFormat="false" ht="15" hidden="false" customHeight="false" outlineLevel="0" collapsed="false">
      <c r="A52" s="7" t="s">
        <v>51</v>
      </c>
      <c r="B52" s="13" t="n">
        <f aca="false">COUNTA('Human Verification Queue'!$A$5:$A$98)</f>
        <v>94</v>
      </c>
      <c r="C52" s="12" t="n">
        <v>94</v>
      </c>
    </row>
    <row r="53" customFormat="false" ht="15" hidden="false" customHeight="false" outlineLevel="0" collapsed="false">
      <c r="A53" s="7" t="s">
        <v>52</v>
      </c>
      <c r="B53" s="13" t="n">
        <f aca="false">SUM(B7:B10)-B11</f>
        <v>0</v>
      </c>
      <c r="C53" s="12" t="n">
        <v>0</v>
      </c>
    </row>
    <row r="54" customFormat="false" ht="15" hidden="false" customHeight="false" outlineLevel="0" collapsed="false">
      <c r="A54" s="7" t="s">
        <v>53</v>
      </c>
      <c r="B54" s="13" t="n">
        <f aca="false">G24-COUNTA('Verification Evidence'!$A$5:$A$94)</f>
        <v>0</v>
      </c>
      <c r="C54" s="12" t="n">
        <v>0</v>
      </c>
    </row>
    <row r="56" customFormat="false" ht="15" hidden="false" customHeight="false" outlineLevel="0" collapsed="false">
      <c r="A56" s="3" t="s">
        <v>54</v>
      </c>
      <c r="B56" s="4"/>
      <c r="C56" s="4"/>
      <c r="D56" s="4"/>
      <c r="E56" s="4"/>
      <c r="F56" s="4"/>
      <c r="G56" s="4"/>
      <c r="H56" s="4"/>
    </row>
    <row r="57" customFormat="false" ht="28.5" hidden="false" customHeight="true" outlineLevel="0" collapsed="false">
      <c r="A57" s="15" t="s">
        <v>55</v>
      </c>
      <c r="B57" s="15"/>
      <c r="C57" s="15"/>
      <c r="D57" s="15"/>
      <c r="E57" s="15"/>
      <c r="F57" s="15"/>
      <c r="G57" s="15"/>
      <c r="H57" s="15"/>
    </row>
    <row r="58" customFormat="false" ht="28.5" hidden="false" customHeight="true" outlineLevel="0" collapsed="false">
      <c r="A58" s="15" t="s">
        <v>56</v>
      </c>
      <c r="B58" s="15"/>
      <c r="C58" s="15"/>
      <c r="D58" s="15"/>
      <c r="E58" s="15"/>
      <c r="F58" s="15"/>
      <c r="G58" s="15"/>
      <c r="H58" s="15"/>
    </row>
    <row r="59" customFormat="false" ht="28.5" hidden="false" customHeight="true" outlineLevel="0" collapsed="false">
      <c r="A59" s="15" t="s">
        <v>57</v>
      </c>
      <c r="B59" s="15"/>
      <c r="C59" s="15"/>
      <c r="D59" s="15"/>
      <c r="E59" s="15"/>
      <c r="F59" s="15"/>
      <c r="G59" s="15"/>
      <c r="H59" s="15"/>
    </row>
    <row r="60" customFormat="false" ht="28.5" hidden="false" customHeight="true" outlineLevel="0" collapsed="false">
      <c r="A60" s="15" t="s">
        <v>58</v>
      </c>
      <c r="B60" s="15"/>
      <c r="C60" s="15"/>
      <c r="D60" s="15"/>
      <c r="E60" s="15"/>
      <c r="F60" s="15"/>
      <c r="G60" s="15"/>
      <c r="H60" s="15"/>
    </row>
    <row r="62" customFormat="false" ht="15" hidden="false" customHeight="false" outlineLevel="0" collapsed="false">
      <c r="A62" s="3" t="s">
        <v>59</v>
      </c>
      <c r="B62" s="4"/>
      <c r="C62" s="4"/>
      <c r="D62" s="4"/>
      <c r="E62" s="4"/>
      <c r="F62" s="4"/>
      <c r="G62" s="4"/>
      <c r="H62" s="4"/>
    </row>
    <row r="63" customFormat="false" ht="15.75" hidden="false" customHeight="true" outlineLevel="0" collapsed="false">
      <c r="A63" s="15" t="s">
        <v>60</v>
      </c>
      <c r="B63" s="15"/>
      <c r="C63" s="15"/>
      <c r="D63" s="15"/>
      <c r="E63" s="15"/>
      <c r="F63" s="15"/>
      <c r="G63" s="15"/>
      <c r="H63" s="15"/>
    </row>
    <row r="64" customFormat="false" ht="28.5" hidden="false" customHeight="true" outlineLevel="0" collapsed="false">
      <c r="A64" s="15" t="s">
        <v>61</v>
      </c>
      <c r="B64" s="15"/>
      <c r="C64" s="15"/>
      <c r="D64" s="15"/>
      <c r="E64" s="15"/>
      <c r="F64" s="15"/>
      <c r="G64" s="15"/>
      <c r="H64" s="15"/>
    </row>
    <row r="65" customFormat="false" ht="28.5" hidden="false" customHeight="true" outlineLevel="0" collapsed="false">
      <c r="A65" s="15" t="s">
        <v>62</v>
      </c>
      <c r="B65" s="15"/>
      <c r="C65" s="15"/>
      <c r="D65" s="15"/>
      <c r="E65" s="15"/>
      <c r="F65" s="15"/>
      <c r="G65" s="15"/>
      <c r="H65" s="15"/>
    </row>
    <row r="66" customFormat="false" ht="28.5" hidden="false" customHeight="true" outlineLevel="0" collapsed="false">
      <c r="A66" s="15" t="s">
        <v>63</v>
      </c>
      <c r="B66" s="15"/>
      <c r="C66" s="15"/>
      <c r="D66" s="15"/>
      <c r="E66" s="15"/>
      <c r="F66" s="15"/>
      <c r="G66" s="15"/>
      <c r="H66" s="15"/>
    </row>
    <row r="67" customFormat="false" ht="28.5" hidden="false" customHeight="true" outlineLevel="0" collapsed="false">
      <c r="A67" s="15" t="s">
        <v>64</v>
      </c>
      <c r="B67" s="15"/>
      <c r="C67" s="15"/>
      <c r="D67" s="15"/>
      <c r="E67" s="15"/>
      <c r="F67" s="15"/>
      <c r="G67" s="15"/>
      <c r="H67" s="15"/>
    </row>
    <row r="68" customFormat="false" ht="28.5" hidden="false" customHeight="true" outlineLevel="0" collapsed="false">
      <c r="A68" s="15" t="s">
        <v>65</v>
      </c>
      <c r="B68" s="15"/>
      <c r="C68" s="15"/>
      <c r="D68" s="15"/>
      <c r="E68" s="15"/>
      <c r="F68" s="15"/>
      <c r="G68" s="15"/>
      <c r="H68" s="15"/>
    </row>
    <row r="69" customFormat="false" ht="28.5" hidden="false" customHeight="true" outlineLevel="0" collapsed="false">
      <c r="A69" s="15" t="s">
        <v>66</v>
      </c>
      <c r="B69" s="15"/>
      <c r="C69" s="15"/>
      <c r="D69" s="15"/>
      <c r="E69" s="15"/>
      <c r="F69" s="15"/>
      <c r="G69" s="15"/>
      <c r="H69" s="15"/>
    </row>
    <row r="71" customFormat="false" ht="15" hidden="false" customHeight="false" outlineLevel="0" collapsed="false">
      <c r="A71" s="3" t="s">
        <v>67</v>
      </c>
      <c r="B71" s="4"/>
      <c r="C71" s="4"/>
      <c r="D71" s="4"/>
      <c r="E71" s="4"/>
      <c r="F71" s="4"/>
      <c r="G71" s="4"/>
      <c r="H71" s="4"/>
    </row>
    <row r="72" customFormat="false" ht="15.75" hidden="false" customHeight="true" outlineLevel="0" collapsed="false">
      <c r="A72" s="15" t="s">
        <v>68</v>
      </c>
      <c r="B72" s="15"/>
      <c r="C72" s="15"/>
      <c r="D72" s="15"/>
      <c r="E72" s="15"/>
      <c r="F72" s="15"/>
      <c r="G72" s="15"/>
      <c r="H72" s="15"/>
    </row>
    <row r="73" customFormat="false" ht="28.5" hidden="false" customHeight="true" outlineLevel="0" collapsed="false">
      <c r="A73" s="15" t="s">
        <v>69</v>
      </c>
      <c r="B73" s="15"/>
      <c r="C73" s="15"/>
      <c r="D73" s="15"/>
      <c r="E73" s="15"/>
      <c r="F73" s="15"/>
      <c r="G73" s="15"/>
      <c r="H73" s="15"/>
    </row>
    <row r="74" customFormat="false" ht="15.75" hidden="false" customHeight="true" outlineLevel="0" collapsed="false">
      <c r="A74" s="15" t="s">
        <v>70</v>
      </c>
      <c r="B74" s="15"/>
      <c r="C74" s="15"/>
      <c r="D74" s="15"/>
      <c r="E74" s="15"/>
      <c r="F74" s="15"/>
      <c r="G74" s="15"/>
      <c r="H74" s="15"/>
    </row>
    <row r="75" customFormat="false" ht="28.5" hidden="false" customHeight="true" outlineLevel="0" collapsed="false">
      <c r="A75" s="15" t="s">
        <v>71</v>
      </c>
      <c r="B75" s="15"/>
      <c r="C75" s="15"/>
      <c r="D75" s="15"/>
      <c r="E75" s="15"/>
      <c r="F75" s="15"/>
      <c r="G75" s="15"/>
      <c r="H75" s="15"/>
    </row>
    <row r="76" customFormat="false" ht="15.75" hidden="false" customHeight="true" outlineLevel="0" collapsed="false">
      <c r="A76" s="15" t="s">
        <v>72</v>
      </c>
      <c r="B76" s="15"/>
      <c r="C76" s="15"/>
      <c r="D76" s="15"/>
      <c r="E76" s="15"/>
      <c r="F76" s="15"/>
      <c r="G76" s="15"/>
      <c r="H76" s="15"/>
    </row>
    <row r="77" customFormat="false" ht="28.5" hidden="false" customHeight="true" outlineLevel="0" collapsed="false">
      <c r="A77" s="15" t="s">
        <v>73</v>
      </c>
      <c r="B77" s="15"/>
      <c r="C77" s="15"/>
      <c r="D77" s="15"/>
      <c r="E77" s="15"/>
      <c r="F77" s="15"/>
      <c r="G77" s="15"/>
      <c r="H77" s="15"/>
    </row>
    <row r="78" customFormat="false" ht="15.75" hidden="false" customHeight="true" outlineLevel="0" collapsed="false">
      <c r="A78" s="15" t="s">
        <v>74</v>
      </c>
      <c r="B78" s="15"/>
      <c r="C78" s="15"/>
      <c r="D78" s="15"/>
      <c r="E78" s="15"/>
      <c r="F78" s="15"/>
      <c r="G78" s="15"/>
      <c r="H78" s="15"/>
    </row>
  </sheetData>
  <mergeCells count="18">
    <mergeCell ref="A57:H57"/>
    <mergeCell ref="A58:H58"/>
    <mergeCell ref="A59:H59"/>
    <mergeCell ref="A60:H60"/>
    <mergeCell ref="A63:H63"/>
    <mergeCell ref="A64:H64"/>
    <mergeCell ref="A65:H65"/>
    <mergeCell ref="A66:H66"/>
    <mergeCell ref="A67:H67"/>
    <mergeCell ref="A68:H68"/>
    <mergeCell ref="A69:H69"/>
    <mergeCell ref="A72:H72"/>
    <mergeCell ref="A73:H73"/>
    <mergeCell ref="A74:H74"/>
    <mergeCell ref="A75:H75"/>
    <mergeCell ref="A76:H76"/>
    <mergeCell ref="A77:H77"/>
    <mergeCell ref="A78:H78"/>
  </mergeCells>
  <conditionalFormatting sqref="A7:A10">
    <cfRule type="cellIs" priority="2" operator="equal" aboveAverage="0" equalAverage="0" bottom="0" percent="0" rank="0" text="" dxfId="0">
      <formula>"verified"</formula>
    </cfRule>
    <cfRule type="cellIs" priority="3" operator="equal" aboveAverage="0" equalAverage="0" bottom="0" percent="0" rank="0" text="" dxfId="1">
      <formula>"partially_verified"</formula>
    </cfRule>
    <cfRule type="cellIs" priority="4" operator="equal" aboveAverage="0" equalAverage="0" bottom="0" percent="0" rank="0" text="" dxfId="2">
      <formula>"unverified"</formula>
    </cfRule>
    <cfRule type="cellIs" priority="5" operator="equal" aboveAverage="0" equalAverage="0" bottom="0" percent="0" rank="0" text="" dxfId="3">
      <formula>"conflicting"</formula>
    </cfRule>
    <cfRule type="cellIs" priority="6" operator="equal" aboveAverage="0" equalAverage="0" bottom="0" percent="0" rank="0" text="" dxfId="4">
      <formula>"not_applicable"</formula>
    </cfRule>
  </conditionalFormatting>
  <printOptions headings="false" gridLines="false" gridLinesSet="true" horizontalCentered="false" verticalCentered="false"/>
  <pageMargins left="0.4" right="0.4" top="0.6" bottom="0.6"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&amp;A - page &amp;P of &amp;N&amp;R&amp;8 Research/review artifact - not authorization to publish</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A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14"/>
    <col collapsed="false" customWidth="true" hidden="false" outlineLevel="0" max="4" min="4" style="0" width="34"/>
    <col collapsed="false" customWidth="true" hidden="false" outlineLevel="0" max="6" min="5" style="0" width="14"/>
    <col collapsed="false" customWidth="true" hidden="false" outlineLevel="0" max="7" min="7" style="0" width="30"/>
    <col collapsed="false" customWidth="true" hidden="false" outlineLevel="0" max="8" min="8" style="0" width="36"/>
    <col collapsed="false" customWidth="true" hidden="false" outlineLevel="0" max="9" min="9" style="0" width="13"/>
    <col collapsed="false" customWidth="true" hidden="false" outlineLevel="0" max="10" min="10" style="0" width="18"/>
    <col collapsed="false" customWidth="true" hidden="false" outlineLevel="0" max="12" min="11" style="0" width="24"/>
    <col collapsed="false" customWidth="true" hidden="false" outlineLevel="0" max="13" min="13" style="0" width="22"/>
    <col collapsed="false" customWidth="true" hidden="false" outlineLevel="0" max="14" min="14" style="0" width="26"/>
    <col collapsed="false" customWidth="true" hidden="false" outlineLevel="0" max="15" min="15" style="0" width="13"/>
    <col collapsed="false" customWidth="true" hidden="false" outlineLevel="0" max="16" min="16" style="0" width="20"/>
    <col collapsed="false" customWidth="true" hidden="false" outlineLevel="0" max="17" min="17" style="0" width="16"/>
    <col collapsed="false" customWidth="true" hidden="false" outlineLevel="0" max="19" min="18" style="0" width="13"/>
    <col collapsed="false" customWidth="true" hidden="false" outlineLevel="0" max="21" min="20" style="0" width="10"/>
    <col collapsed="false" customWidth="true" hidden="false" outlineLevel="0" max="22" min="22" style="0" width="40"/>
    <col collapsed="false" customWidth="true" hidden="false" outlineLevel="0" max="25" min="23" style="0" width="19"/>
    <col collapsed="false" customWidth="true" hidden="false" outlineLevel="0" max="27" min="26" style="0" width="16"/>
    <col collapsed="false" customWidth="true" hidden="false" outlineLevel="0" max="28" min="28" style="0" width="46"/>
  </cols>
  <sheetData>
    <row r="1" customFormat="false" ht="24" hidden="false" customHeight="true" outlineLevel="0" collapsed="false">
      <c r="A1" s="1" t="s">
        <v>75</v>
      </c>
    </row>
    <row r="2" customFormat="false" ht="15" hidden="false" customHeight="false" outlineLevel="0" collapsed="false">
      <c r="A2" s="2" t="s">
        <v>76</v>
      </c>
    </row>
    <row r="3" customFormat="false" ht="15" hidden="false" customHeight="false" outlineLevel="0" collapsed="false">
      <c r="A3" s="2" t="s">
        <v>77</v>
      </c>
    </row>
    <row r="4" customFormat="false" ht="31.5" hidden="false" customHeight="true" outlineLevel="0" collapsed="false">
      <c r="A4" s="5" t="s">
        <v>78</v>
      </c>
      <c r="B4" s="5" t="s">
        <v>79</v>
      </c>
      <c r="C4" s="5" t="s">
        <v>80</v>
      </c>
      <c r="D4" s="5" t="s">
        <v>81</v>
      </c>
      <c r="E4" s="5" t="s">
        <v>82</v>
      </c>
      <c r="F4" s="5" t="s">
        <v>83</v>
      </c>
      <c r="G4" s="5" t="s">
        <v>84</v>
      </c>
      <c r="H4" s="5" t="s">
        <v>85</v>
      </c>
      <c r="I4" s="5" t="s">
        <v>86</v>
      </c>
      <c r="J4" s="5" t="s">
        <v>87</v>
      </c>
      <c r="K4" s="5" t="s">
        <v>88</v>
      </c>
      <c r="L4" s="5" t="s">
        <v>89</v>
      </c>
      <c r="M4" s="5" t="s">
        <v>90</v>
      </c>
      <c r="N4" s="5" t="s">
        <v>91</v>
      </c>
      <c r="O4" s="5" t="s">
        <v>92</v>
      </c>
      <c r="P4" s="5" t="s">
        <v>93</v>
      </c>
      <c r="Q4" s="5" t="s">
        <v>94</v>
      </c>
      <c r="R4" s="5" t="s">
        <v>95</v>
      </c>
      <c r="S4" s="5" t="s">
        <v>96</v>
      </c>
      <c r="T4" s="5" t="s">
        <v>97</v>
      </c>
      <c r="U4" s="5" t="s">
        <v>98</v>
      </c>
      <c r="V4" s="5" t="s">
        <v>99</v>
      </c>
      <c r="W4" s="16" t="s">
        <v>100</v>
      </c>
      <c r="X4" s="16" t="s">
        <v>101</v>
      </c>
      <c r="Y4" s="16" t="s">
        <v>102</v>
      </c>
      <c r="Z4" s="16" t="s">
        <v>103</v>
      </c>
      <c r="AA4" s="16" t="s">
        <v>104</v>
      </c>
      <c r="AB4" s="16" t="s">
        <v>105</v>
      </c>
    </row>
    <row r="5" customFormat="false" ht="40.5" hidden="false" customHeight="true" outlineLevel="0" collapsed="false">
      <c r="A5" s="7" t="s">
        <v>106</v>
      </c>
      <c r="B5" s="7" t="s">
        <v>107</v>
      </c>
      <c r="C5" s="7" t="s">
        <v>108</v>
      </c>
      <c r="D5" s="7" t="s">
        <v>109</v>
      </c>
      <c r="E5" s="7"/>
      <c r="F5" s="7"/>
      <c r="G5" s="17" t="s">
        <v>110</v>
      </c>
      <c r="H5" s="7" t="s">
        <v>111</v>
      </c>
      <c r="I5" s="18" t="n">
        <v>46304</v>
      </c>
      <c r="J5" s="7" t="s">
        <v>112</v>
      </c>
      <c r="K5" s="7" t="s">
        <v>113</v>
      </c>
      <c r="L5" s="7" t="s">
        <v>114</v>
      </c>
      <c r="M5" s="7" t="s">
        <v>115</v>
      </c>
      <c r="N5" s="7" t="s">
        <v>116</v>
      </c>
      <c r="O5" s="7" t="s">
        <v>117</v>
      </c>
      <c r="P5" s="7" t="s">
        <v>118</v>
      </c>
      <c r="Q5" s="7" t="s">
        <v>117</v>
      </c>
      <c r="R5" s="7" t="s">
        <v>119</v>
      </c>
      <c r="S5" s="7"/>
      <c r="T5" s="19" t="s">
        <v>120</v>
      </c>
      <c r="U5" s="19" t="s">
        <v>120</v>
      </c>
      <c r="V5" s="7" t="s">
        <v>121</v>
      </c>
      <c r="W5" s="19" t="str">
        <f aca="false">IF(COUNTIFS('Verification Evidence'!$A$5:$A$94,$A5,'Verification Evidence'!$D$5:$D$94,"conflicting")&gt;0,"conflicting",IF(COUNTIFS('Verification Evidence'!$A$5:$A$94,$A5,'Verification Evidence'!$D$5:$D$94,"verified")+COUNTIFS('Verification Evidence'!$A$5:$A$94,$A5,'Verification Evidence'!$D$5:$D$94,"not_applicable")=9,"verified",IF(COUNTIFS('Verification Evidence'!$A$5:$A$94,$A5,'Verification Evidence'!$C$5:$C$94,"Current registration / authorization",'Verification Evidence'!$D$5:$D$94,"verified")+COUNTIFS('Verification Evidence'!$A$5:$A$94,$A5,'Verification Evidence'!$C$5:$C$94,"Current registration / authorization",'Verification Evidence'!$D$5:$D$94,"partially_verified")+COUNTIFS('Verification Evidence'!$A$5:$A$94,$A5,'Verification Evidence'!$C$5:$C$94,"Operating at recorded address",'Verification Evidence'!$D$5:$D$94,"verified")+COUNTIFS('Verification Evidence'!$A$5:$A$94,$A5,'Verification Evidence'!$C$5:$C$94,"Operating at recorded address",'Verification Evidence'!$D$5:$D$94,"partially_verified")&gt;0,"partially_verified","unverified")))</f>
        <v>unverified</v>
      </c>
      <c r="X5" s="19" t="str">
        <f aca="false">IFERROR(INDEX('Verification Evidence'!$D$5:$D$94,MATCH($A5&amp;"|Current registration / authorization",'Verification Evidence'!$P$5:$P$94,0)),"MISSING")</f>
        <v>unverified</v>
      </c>
      <c r="Y5" s="19" t="str">
        <f aca="false">IFERROR(INDEX('Verification Evidence'!$D$5:$D$94,MATCH($A5&amp;"|Household (individual) intake",'Verification Evidence'!$P$5:$P$94,0)),"MISSING")</f>
        <v>unverified</v>
      </c>
      <c r="Z5" s="19" t="n">
        <v>12</v>
      </c>
      <c r="AA5" s="19" t="n">
        <v>365</v>
      </c>
      <c r="AB5" s="7" t="s">
        <v>122</v>
      </c>
    </row>
    <row r="6" customFormat="false" ht="40.5" hidden="false" customHeight="true" outlineLevel="0" collapsed="false">
      <c r="A6" s="7" t="s">
        <v>123</v>
      </c>
      <c r="B6" s="7" t="s">
        <v>124</v>
      </c>
      <c r="C6" s="7" t="s">
        <v>108</v>
      </c>
      <c r="D6" s="7" t="s">
        <v>125</v>
      </c>
      <c r="E6" s="7"/>
      <c r="F6" s="7"/>
      <c r="G6" s="17" t="s">
        <v>110</v>
      </c>
      <c r="H6" s="7" t="s">
        <v>111</v>
      </c>
      <c r="I6" s="18" t="n">
        <v>46304</v>
      </c>
      <c r="J6" s="7" t="s">
        <v>112</v>
      </c>
      <c r="K6" s="7" t="s">
        <v>113</v>
      </c>
      <c r="L6" s="7" t="s">
        <v>114</v>
      </c>
      <c r="M6" s="7" t="s">
        <v>115</v>
      </c>
      <c r="N6" s="7" t="s">
        <v>126</v>
      </c>
      <c r="O6" s="7" t="s">
        <v>117</v>
      </c>
      <c r="P6" s="7" t="s">
        <v>118</v>
      </c>
      <c r="Q6" s="7" t="s">
        <v>117</v>
      </c>
      <c r="R6" s="7" t="s">
        <v>119</v>
      </c>
      <c r="S6" s="7"/>
      <c r="T6" s="19" t="s">
        <v>120</v>
      </c>
      <c r="U6" s="19" t="s">
        <v>120</v>
      </c>
      <c r="V6" s="7" t="s">
        <v>121</v>
      </c>
      <c r="W6" s="19" t="str">
        <f aca="false">IF(COUNTIFS('Verification Evidence'!$A$5:$A$94,$A6,'Verification Evidence'!$D$5:$D$94,"conflicting")&gt;0,"conflicting",IF(COUNTIFS('Verification Evidence'!$A$5:$A$94,$A6,'Verification Evidence'!$D$5:$D$94,"verified")+COUNTIFS('Verification Evidence'!$A$5:$A$94,$A6,'Verification Evidence'!$D$5:$D$94,"not_applicable")=9,"verified",IF(COUNTIFS('Verification Evidence'!$A$5:$A$94,$A6,'Verification Evidence'!$C$5:$C$94,"Current registration / authorization",'Verification Evidence'!$D$5:$D$94,"verified")+COUNTIFS('Verification Evidence'!$A$5:$A$94,$A6,'Verification Evidence'!$C$5:$C$94,"Current registration / authorization",'Verification Evidence'!$D$5:$D$94,"partially_verified")+COUNTIFS('Verification Evidence'!$A$5:$A$94,$A6,'Verification Evidence'!$C$5:$C$94,"Operating at recorded address",'Verification Evidence'!$D$5:$D$94,"verified")+COUNTIFS('Verification Evidence'!$A$5:$A$94,$A6,'Verification Evidence'!$C$5:$C$94,"Operating at recorded address",'Verification Evidence'!$D$5:$D$94,"partially_verified")&gt;0,"partially_verified","unverified")))</f>
        <v>unverified</v>
      </c>
      <c r="X6" s="19" t="str">
        <f aca="false">IFERROR(INDEX('Verification Evidence'!$D$5:$D$94,MATCH($A6&amp;"|Current registration / authorization",'Verification Evidence'!$P$5:$P$94,0)),"MISSING")</f>
        <v>unverified</v>
      </c>
      <c r="Y6" s="19" t="str">
        <f aca="false">IFERROR(INDEX('Verification Evidence'!$D$5:$D$94,MATCH($A6&amp;"|Household (individual) intake",'Verification Evidence'!$P$5:$P$94,0)),"MISSING")</f>
        <v>unverified</v>
      </c>
      <c r="Z6" s="19" t="s">
        <v>127</v>
      </c>
      <c r="AA6" s="19" t="s">
        <v>128</v>
      </c>
      <c r="AB6" s="7" t="s">
        <v>129</v>
      </c>
    </row>
    <row r="7" customFormat="false" ht="40.5" hidden="false" customHeight="true" outlineLevel="0" collapsed="false">
      <c r="A7" s="7" t="s">
        <v>130</v>
      </c>
      <c r="B7" s="7" t="s">
        <v>131</v>
      </c>
      <c r="C7" s="7" t="s">
        <v>108</v>
      </c>
      <c r="D7" s="7" t="s">
        <v>132</v>
      </c>
      <c r="E7" s="7"/>
      <c r="F7" s="7"/>
      <c r="G7" s="17" t="s">
        <v>110</v>
      </c>
      <c r="H7" s="7" t="s">
        <v>111</v>
      </c>
      <c r="I7" s="18" t="n">
        <v>46304</v>
      </c>
      <c r="J7" s="7" t="s">
        <v>112</v>
      </c>
      <c r="K7" s="7" t="s">
        <v>113</v>
      </c>
      <c r="L7" s="7" t="s">
        <v>114</v>
      </c>
      <c r="M7" s="7" t="s">
        <v>115</v>
      </c>
      <c r="N7" s="7" t="s">
        <v>133</v>
      </c>
      <c r="O7" s="7" t="s">
        <v>117</v>
      </c>
      <c r="P7" s="7" t="s">
        <v>118</v>
      </c>
      <c r="Q7" s="7" t="s">
        <v>117</v>
      </c>
      <c r="R7" s="7" t="s">
        <v>119</v>
      </c>
      <c r="S7" s="7"/>
      <c r="T7" s="19" t="s">
        <v>120</v>
      </c>
      <c r="U7" s="19" t="s">
        <v>120</v>
      </c>
      <c r="V7" s="7" t="s">
        <v>121</v>
      </c>
      <c r="W7" s="19" t="str">
        <f aca="false">IF(COUNTIFS('Verification Evidence'!$A$5:$A$94,$A7,'Verification Evidence'!$D$5:$D$94,"conflicting")&gt;0,"conflicting",IF(COUNTIFS('Verification Evidence'!$A$5:$A$94,$A7,'Verification Evidence'!$D$5:$D$94,"verified")+COUNTIFS('Verification Evidence'!$A$5:$A$94,$A7,'Verification Evidence'!$D$5:$D$94,"not_applicable")=9,"verified",IF(COUNTIFS('Verification Evidence'!$A$5:$A$94,$A7,'Verification Evidence'!$C$5:$C$94,"Current registration / authorization",'Verification Evidence'!$D$5:$D$94,"verified")+COUNTIFS('Verification Evidence'!$A$5:$A$94,$A7,'Verification Evidence'!$C$5:$C$94,"Current registration / authorization",'Verification Evidence'!$D$5:$D$94,"partially_verified")+COUNTIFS('Verification Evidence'!$A$5:$A$94,$A7,'Verification Evidence'!$C$5:$C$94,"Operating at recorded address",'Verification Evidence'!$D$5:$D$94,"verified")+COUNTIFS('Verification Evidence'!$A$5:$A$94,$A7,'Verification Evidence'!$C$5:$C$94,"Operating at recorded address",'Verification Evidence'!$D$5:$D$94,"partially_verified")&gt;0,"partially_verified","unverified")))</f>
        <v>partially_verified</v>
      </c>
      <c r="X7" s="19" t="str">
        <f aca="false">IFERROR(INDEX('Verification Evidence'!$D$5:$D$94,MATCH($A7&amp;"|Current registration / authorization",'Verification Evidence'!$P$5:$P$94,0)),"MISSING")</f>
        <v>partially_verified</v>
      </c>
      <c r="Y7" s="19" t="str">
        <f aca="false">IFERROR(INDEX('Verification Evidence'!$D$5:$D$94,MATCH($A7&amp;"|Household (individual) intake",'Verification Evidence'!$P$5:$P$94,0)),"MISSING")</f>
        <v>unverified</v>
      </c>
      <c r="Z7" s="19" t="n">
        <v>13</v>
      </c>
      <c r="AA7" s="19" t="n">
        <v>1000</v>
      </c>
      <c r="AB7" s="7" t="s">
        <v>134</v>
      </c>
    </row>
    <row r="8" customFormat="false" ht="40.5" hidden="false" customHeight="true" outlineLevel="0" collapsed="false">
      <c r="A8" s="7" t="s">
        <v>135</v>
      </c>
      <c r="B8" s="7" t="s">
        <v>136</v>
      </c>
      <c r="C8" s="7" t="s">
        <v>108</v>
      </c>
      <c r="D8" s="7" t="s">
        <v>137</v>
      </c>
      <c r="E8" s="7"/>
      <c r="F8" s="7"/>
      <c r="G8" s="17" t="s">
        <v>110</v>
      </c>
      <c r="H8" s="7" t="s">
        <v>111</v>
      </c>
      <c r="I8" s="18" t="n">
        <v>46304</v>
      </c>
      <c r="J8" s="7" t="s">
        <v>112</v>
      </c>
      <c r="K8" s="7" t="s">
        <v>113</v>
      </c>
      <c r="L8" s="7" t="s">
        <v>114</v>
      </c>
      <c r="M8" s="7" t="s">
        <v>115</v>
      </c>
      <c r="N8" s="7" t="s">
        <v>138</v>
      </c>
      <c r="O8" s="7" t="s">
        <v>117</v>
      </c>
      <c r="P8" s="7" t="s">
        <v>118</v>
      </c>
      <c r="Q8" s="7" t="s">
        <v>117</v>
      </c>
      <c r="R8" s="7" t="s">
        <v>119</v>
      </c>
      <c r="S8" s="7"/>
      <c r="T8" s="19" t="s">
        <v>120</v>
      </c>
      <c r="U8" s="19" t="s">
        <v>120</v>
      </c>
      <c r="V8" s="7" t="s">
        <v>121</v>
      </c>
      <c r="W8" s="19" t="str">
        <f aca="false">IF(COUNTIFS('Verification Evidence'!$A$5:$A$94,$A8,'Verification Evidence'!$D$5:$D$94,"conflicting")&gt;0,"conflicting",IF(COUNTIFS('Verification Evidence'!$A$5:$A$94,$A8,'Verification Evidence'!$D$5:$D$94,"verified")+COUNTIFS('Verification Evidence'!$A$5:$A$94,$A8,'Verification Evidence'!$D$5:$D$94,"not_applicable")=9,"verified",IF(COUNTIFS('Verification Evidence'!$A$5:$A$94,$A8,'Verification Evidence'!$C$5:$C$94,"Current registration / authorization",'Verification Evidence'!$D$5:$D$94,"verified")+COUNTIFS('Verification Evidence'!$A$5:$A$94,$A8,'Verification Evidence'!$C$5:$C$94,"Current registration / authorization",'Verification Evidence'!$D$5:$D$94,"partially_verified")+COUNTIFS('Verification Evidence'!$A$5:$A$94,$A8,'Verification Evidence'!$C$5:$C$94,"Operating at recorded address",'Verification Evidence'!$D$5:$D$94,"verified")+COUNTIFS('Verification Evidence'!$A$5:$A$94,$A8,'Verification Evidence'!$C$5:$C$94,"Operating at recorded address",'Verification Evidence'!$D$5:$D$94,"partially_verified")&gt;0,"partially_verified","unverified")))</f>
        <v>unverified</v>
      </c>
      <c r="X8" s="19" t="str">
        <f aca="false">IFERROR(INDEX('Verification Evidence'!$D$5:$D$94,MATCH($A8&amp;"|Current registration / authorization",'Verification Evidence'!$P$5:$P$94,0)),"MISSING")</f>
        <v>unverified</v>
      </c>
      <c r="Y8" s="19" t="str">
        <f aca="false">IFERROR(INDEX('Verification Evidence'!$D$5:$D$94,MATCH($A8&amp;"|Household (individual) intake",'Verification Evidence'!$P$5:$P$94,0)),"MISSING")</f>
        <v>unverified</v>
      </c>
      <c r="Z8" s="19" t="n">
        <v>14</v>
      </c>
      <c r="AA8" s="19" t="n">
        <v>300</v>
      </c>
      <c r="AB8" s="7" t="s">
        <v>139</v>
      </c>
    </row>
    <row r="9" customFormat="false" ht="40.5" hidden="false" customHeight="true" outlineLevel="0" collapsed="false">
      <c r="A9" s="7" t="s">
        <v>140</v>
      </c>
      <c r="B9" s="7" t="s">
        <v>141</v>
      </c>
      <c r="C9" s="7" t="s">
        <v>108</v>
      </c>
      <c r="D9" s="7" t="s">
        <v>142</v>
      </c>
      <c r="E9" s="7"/>
      <c r="F9" s="7"/>
      <c r="G9" s="17" t="s">
        <v>110</v>
      </c>
      <c r="H9" s="7" t="s">
        <v>111</v>
      </c>
      <c r="I9" s="18" t="n">
        <v>46304</v>
      </c>
      <c r="J9" s="7" t="s">
        <v>112</v>
      </c>
      <c r="K9" s="7" t="s">
        <v>113</v>
      </c>
      <c r="L9" s="7" t="s">
        <v>114</v>
      </c>
      <c r="M9" s="7" t="s">
        <v>115</v>
      </c>
      <c r="N9" s="7" t="s">
        <v>143</v>
      </c>
      <c r="O9" s="7" t="s">
        <v>117</v>
      </c>
      <c r="P9" s="7" t="s">
        <v>118</v>
      </c>
      <c r="Q9" s="7" t="s">
        <v>117</v>
      </c>
      <c r="R9" s="7" t="s">
        <v>119</v>
      </c>
      <c r="S9" s="7"/>
      <c r="T9" s="19" t="s">
        <v>120</v>
      </c>
      <c r="U9" s="19" t="s">
        <v>120</v>
      </c>
      <c r="V9" s="7" t="s">
        <v>121</v>
      </c>
      <c r="W9" s="19" t="str">
        <f aca="false">IF(COUNTIFS('Verification Evidence'!$A$5:$A$94,$A9,'Verification Evidence'!$D$5:$D$94,"conflicting")&gt;0,"conflicting",IF(COUNTIFS('Verification Evidence'!$A$5:$A$94,$A9,'Verification Evidence'!$D$5:$D$94,"verified")+COUNTIFS('Verification Evidence'!$A$5:$A$94,$A9,'Verification Evidence'!$D$5:$D$94,"not_applicable")=9,"verified",IF(COUNTIFS('Verification Evidence'!$A$5:$A$94,$A9,'Verification Evidence'!$C$5:$C$94,"Current registration / authorization",'Verification Evidence'!$D$5:$D$94,"verified")+COUNTIFS('Verification Evidence'!$A$5:$A$94,$A9,'Verification Evidence'!$C$5:$C$94,"Current registration / authorization",'Verification Evidence'!$D$5:$D$94,"partially_verified")+COUNTIFS('Verification Evidence'!$A$5:$A$94,$A9,'Verification Evidence'!$C$5:$C$94,"Operating at recorded address",'Verification Evidence'!$D$5:$D$94,"verified")+COUNTIFS('Verification Evidence'!$A$5:$A$94,$A9,'Verification Evidence'!$C$5:$C$94,"Operating at recorded address",'Verification Evidence'!$D$5:$D$94,"partially_verified")&gt;0,"partially_verified","unverified")))</f>
        <v>unverified</v>
      </c>
      <c r="X9" s="19" t="str">
        <f aca="false">IFERROR(INDEX('Verification Evidence'!$D$5:$D$94,MATCH($A9&amp;"|Current registration / authorization",'Verification Evidence'!$P$5:$P$94,0)),"MISSING")</f>
        <v>unverified</v>
      </c>
      <c r="Y9" s="19" t="str">
        <f aca="false">IFERROR(INDEX('Verification Evidence'!$D$5:$D$94,MATCH($A9&amp;"|Household (individual) intake",'Verification Evidence'!$P$5:$P$94,0)),"MISSING")</f>
        <v>unverified</v>
      </c>
      <c r="Z9" s="19" t="n">
        <v>11</v>
      </c>
      <c r="AA9" s="19" t="n">
        <v>290</v>
      </c>
      <c r="AB9" s="7" t="s">
        <v>139</v>
      </c>
    </row>
    <row r="10" customFormat="false" ht="40.5" hidden="false" customHeight="true" outlineLevel="0" collapsed="false">
      <c r="A10" s="7" t="s">
        <v>144</v>
      </c>
      <c r="B10" s="7" t="s">
        <v>145</v>
      </c>
      <c r="C10" s="7" t="s">
        <v>146</v>
      </c>
      <c r="D10" s="7" t="s">
        <v>147</v>
      </c>
      <c r="E10" s="7"/>
      <c r="F10" s="7"/>
      <c r="G10" s="17" t="s">
        <v>110</v>
      </c>
      <c r="H10" s="7" t="s">
        <v>111</v>
      </c>
      <c r="I10" s="18" t="n">
        <v>46304</v>
      </c>
      <c r="J10" s="7" t="s">
        <v>112</v>
      </c>
      <c r="K10" s="7" t="s">
        <v>113</v>
      </c>
      <c r="L10" s="7" t="s">
        <v>114</v>
      </c>
      <c r="M10" s="7" t="s">
        <v>115</v>
      </c>
      <c r="N10" s="7" t="s">
        <v>148</v>
      </c>
      <c r="O10" s="7" t="s">
        <v>117</v>
      </c>
      <c r="P10" s="7" t="s">
        <v>118</v>
      </c>
      <c r="Q10" s="7" t="s">
        <v>117</v>
      </c>
      <c r="R10" s="7" t="s">
        <v>119</v>
      </c>
      <c r="S10" s="7"/>
      <c r="T10" s="19" t="s">
        <v>120</v>
      </c>
      <c r="U10" s="19" t="s">
        <v>120</v>
      </c>
      <c r="V10" s="7" t="s">
        <v>121</v>
      </c>
      <c r="W10" s="19" t="str">
        <f aca="false">IF(COUNTIFS('Verification Evidence'!$A$5:$A$94,$A10,'Verification Evidence'!$D$5:$D$94,"conflicting")&gt;0,"conflicting",IF(COUNTIFS('Verification Evidence'!$A$5:$A$94,$A10,'Verification Evidence'!$D$5:$D$94,"verified")+COUNTIFS('Verification Evidence'!$A$5:$A$94,$A10,'Verification Evidence'!$D$5:$D$94,"not_applicable")=9,"verified",IF(COUNTIFS('Verification Evidence'!$A$5:$A$94,$A10,'Verification Evidence'!$C$5:$C$94,"Current registration / authorization",'Verification Evidence'!$D$5:$D$94,"verified")+COUNTIFS('Verification Evidence'!$A$5:$A$94,$A10,'Verification Evidence'!$C$5:$C$94,"Current registration / authorization",'Verification Evidence'!$D$5:$D$94,"partially_verified")+COUNTIFS('Verification Evidence'!$A$5:$A$94,$A10,'Verification Evidence'!$C$5:$C$94,"Operating at recorded address",'Verification Evidence'!$D$5:$D$94,"verified")+COUNTIFS('Verification Evidence'!$A$5:$A$94,$A10,'Verification Evidence'!$C$5:$C$94,"Operating at recorded address",'Verification Evidence'!$D$5:$D$94,"partially_verified")&gt;0,"partially_verified","unverified")))</f>
        <v>partially_verified</v>
      </c>
      <c r="X10" s="19" t="str">
        <f aca="false">IFERROR(INDEX('Verification Evidence'!$D$5:$D$94,MATCH($A10&amp;"|Current registration / authorization",'Verification Evidence'!$P$5:$P$94,0)),"MISSING")</f>
        <v>partially_verified</v>
      </c>
      <c r="Y10" s="19" t="str">
        <f aca="false">IFERROR(INDEX('Verification Evidence'!$D$5:$D$94,MATCH($A10&amp;"|Household (individual) intake",'Verification Evidence'!$P$5:$P$94,0)),"MISSING")</f>
        <v>unverified</v>
      </c>
      <c r="Z10" s="19" t="n">
        <v>36</v>
      </c>
      <c r="AA10" s="19" t="n">
        <v>5400</v>
      </c>
      <c r="AB10" s="7" t="s">
        <v>149</v>
      </c>
    </row>
    <row r="11" customFormat="false" ht="40.5" hidden="false" customHeight="true" outlineLevel="0" collapsed="false">
      <c r="A11" s="7" t="s">
        <v>150</v>
      </c>
      <c r="B11" s="7" t="s">
        <v>151</v>
      </c>
      <c r="C11" s="7" t="s">
        <v>108</v>
      </c>
      <c r="D11" s="7" t="s">
        <v>152</v>
      </c>
      <c r="E11" s="7"/>
      <c r="F11" s="7"/>
      <c r="G11" s="17" t="s">
        <v>110</v>
      </c>
      <c r="H11" s="7" t="s">
        <v>111</v>
      </c>
      <c r="I11" s="18" t="n">
        <v>46304</v>
      </c>
      <c r="J11" s="7" t="s">
        <v>112</v>
      </c>
      <c r="K11" s="7" t="s">
        <v>113</v>
      </c>
      <c r="L11" s="7" t="s">
        <v>114</v>
      </c>
      <c r="M11" s="7" t="s">
        <v>115</v>
      </c>
      <c r="N11" s="7" t="s">
        <v>153</v>
      </c>
      <c r="O11" s="7" t="s">
        <v>117</v>
      </c>
      <c r="P11" s="7" t="s">
        <v>118</v>
      </c>
      <c r="Q11" s="7" t="s">
        <v>117</v>
      </c>
      <c r="R11" s="7" t="s">
        <v>119</v>
      </c>
      <c r="S11" s="7"/>
      <c r="T11" s="19" t="s">
        <v>120</v>
      </c>
      <c r="U11" s="19" t="s">
        <v>120</v>
      </c>
      <c r="V11" s="7" t="s">
        <v>121</v>
      </c>
      <c r="W11" s="19" t="str">
        <f aca="false">IF(COUNTIFS('Verification Evidence'!$A$5:$A$94,$A11,'Verification Evidence'!$D$5:$D$94,"conflicting")&gt;0,"conflicting",IF(COUNTIFS('Verification Evidence'!$A$5:$A$94,$A11,'Verification Evidence'!$D$5:$D$94,"verified")+COUNTIFS('Verification Evidence'!$A$5:$A$94,$A11,'Verification Evidence'!$D$5:$D$94,"not_applicable")=9,"verified",IF(COUNTIFS('Verification Evidence'!$A$5:$A$94,$A11,'Verification Evidence'!$C$5:$C$94,"Current registration / authorization",'Verification Evidence'!$D$5:$D$94,"verified")+COUNTIFS('Verification Evidence'!$A$5:$A$94,$A11,'Verification Evidence'!$C$5:$C$94,"Current registration / authorization",'Verification Evidence'!$D$5:$D$94,"partially_verified")+COUNTIFS('Verification Evidence'!$A$5:$A$94,$A11,'Verification Evidence'!$C$5:$C$94,"Operating at recorded address",'Verification Evidence'!$D$5:$D$94,"verified")+COUNTIFS('Verification Evidence'!$A$5:$A$94,$A11,'Verification Evidence'!$C$5:$C$94,"Operating at recorded address",'Verification Evidence'!$D$5:$D$94,"partially_verified")&gt;0,"partially_verified","unverified")))</f>
        <v>unverified</v>
      </c>
      <c r="X11" s="19" t="str">
        <f aca="false">IFERROR(INDEX('Verification Evidence'!$D$5:$D$94,MATCH($A11&amp;"|Current registration / authorization",'Verification Evidence'!$P$5:$P$94,0)),"MISSING")</f>
        <v>unverified</v>
      </c>
      <c r="Y11" s="19" t="str">
        <f aca="false">IFERROR(INDEX('Verification Evidence'!$D$5:$D$94,MATCH($A11&amp;"|Household (individual) intake",'Verification Evidence'!$P$5:$P$94,0)),"MISSING")</f>
        <v>unverified</v>
      </c>
      <c r="Z11" s="19" t="n">
        <v>37</v>
      </c>
      <c r="AA11" s="19" t="n">
        <v>381</v>
      </c>
      <c r="AB11" s="7" t="s">
        <v>154</v>
      </c>
    </row>
    <row r="12" customFormat="false" ht="40.5" hidden="false" customHeight="true" outlineLevel="0" collapsed="false">
      <c r="A12" s="7" t="s">
        <v>155</v>
      </c>
      <c r="B12" s="7" t="s">
        <v>156</v>
      </c>
      <c r="C12" s="7" t="s">
        <v>146</v>
      </c>
      <c r="D12" s="7" t="s">
        <v>157</v>
      </c>
      <c r="E12" s="7"/>
      <c r="F12" s="7"/>
      <c r="G12" s="17" t="s">
        <v>110</v>
      </c>
      <c r="H12" s="7" t="s">
        <v>111</v>
      </c>
      <c r="I12" s="18" t="n">
        <v>46304</v>
      </c>
      <c r="J12" s="7" t="s">
        <v>112</v>
      </c>
      <c r="K12" s="7" t="s">
        <v>113</v>
      </c>
      <c r="L12" s="7" t="s">
        <v>114</v>
      </c>
      <c r="M12" s="7" t="s">
        <v>115</v>
      </c>
      <c r="N12" s="7" t="s">
        <v>158</v>
      </c>
      <c r="O12" s="7" t="s">
        <v>117</v>
      </c>
      <c r="P12" s="7" t="s">
        <v>118</v>
      </c>
      <c r="Q12" s="7" t="s">
        <v>117</v>
      </c>
      <c r="R12" s="7" t="s">
        <v>119</v>
      </c>
      <c r="S12" s="7"/>
      <c r="T12" s="19" t="s">
        <v>120</v>
      </c>
      <c r="U12" s="19" t="s">
        <v>120</v>
      </c>
      <c r="V12" s="7" t="s">
        <v>121</v>
      </c>
      <c r="W12" s="19" t="str">
        <f aca="false">IF(COUNTIFS('Verification Evidence'!$A$5:$A$94,$A12,'Verification Evidence'!$D$5:$D$94,"conflicting")&gt;0,"conflicting",IF(COUNTIFS('Verification Evidence'!$A$5:$A$94,$A12,'Verification Evidence'!$D$5:$D$94,"verified")+COUNTIFS('Verification Evidence'!$A$5:$A$94,$A12,'Verification Evidence'!$D$5:$D$94,"not_applicable")=9,"verified",IF(COUNTIFS('Verification Evidence'!$A$5:$A$94,$A12,'Verification Evidence'!$C$5:$C$94,"Current registration / authorization",'Verification Evidence'!$D$5:$D$94,"verified")+COUNTIFS('Verification Evidence'!$A$5:$A$94,$A12,'Verification Evidence'!$C$5:$C$94,"Current registration / authorization",'Verification Evidence'!$D$5:$D$94,"partially_verified")+COUNTIFS('Verification Evidence'!$A$5:$A$94,$A12,'Verification Evidence'!$C$5:$C$94,"Operating at recorded address",'Verification Evidence'!$D$5:$D$94,"verified")+COUNTIFS('Verification Evidence'!$A$5:$A$94,$A12,'Verification Evidence'!$C$5:$C$94,"Operating at recorded address",'Verification Evidence'!$D$5:$D$94,"partially_verified")&gt;0,"partially_verified","unverified")))</f>
        <v>partially_verified</v>
      </c>
      <c r="X12" s="19" t="str">
        <f aca="false">IFERROR(INDEX('Verification Evidence'!$D$5:$D$94,MATCH($A12&amp;"|Current registration / authorization",'Verification Evidence'!$P$5:$P$94,0)),"MISSING")</f>
        <v>partially_verified</v>
      </c>
      <c r="Y12" s="19" t="str">
        <f aca="false">IFERROR(INDEX('Verification Evidence'!$D$5:$D$94,MATCH($A12&amp;"|Household (individual) intake",'Verification Evidence'!$P$5:$P$94,0)),"MISSING")</f>
        <v>unverified</v>
      </c>
      <c r="Z12" s="19" t="n">
        <v>38</v>
      </c>
      <c r="AA12" s="19" t="n">
        <v>8931</v>
      </c>
      <c r="AB12" s="7" t="s">
        <v>159</v>
      </c>
    </row>
    <row r="13" customFormat="false" ht="40.5" hidden="false" customHeight="true" outlineLevel="0" collapsed="false">
      <c r="A13" s="7" t="s">
        <v>160</v>
      </c>
      <c r="B13" s="7" t="s">
        <v>161</v>
      </c>
      <c r="C13" s="7" t="s">
        <v>108</v>
      </c>
      <c r="D13" s="7" t="s">
        <v>162</v>
      </c>
      <c r="E13" s="7"/>
      <c r="F13" s="7"/>
      <c r="G13" s="17" t="s">
        <v>110</v>
      </c>
      <c r="H13" s="7" t="s">
        <v>111</v>
      </c>
      <c r="I13" s="18" t="n">
        <v>46304</v>
      </c>
      <c r="J13" s="7" t="s">
        <v>112</v>
      </c>
      <c r="K13" s="7" t="s">
        <v>113</v>
      </c>
      <c r="L13" s="7" t="s">
        <v>114</v>
      </c>
      <c r="M13" s="7" t="s">
        <v>115</v>
      </c>
      <c r="N13" s="7" t="s">
        <v>163</v>
      </c>
      <c r="O13" s="7" t="s">
        <v>117</v>
      </c>
      <c r="P13" s="7" t="s">
        <v>118</v>
      </c>
      <c r="Q13" s="7" t="s">
        <v>117</v>
      </c>
      <c r="R13" s="7" t="s">
        <v>119</v>
      </c>
      <c r="S13" s="7"/>
      <c r="T13" s="19" t="s">
        <v>120</v>
      </c>
      <c r="U13" s="19" t="s">
        <v>120</v>
      </c>
      <c r="V13" s="7" t="s">
        <v>121</v>
      </c>
      <c r="W13" s="19" t="str">
        <f aca="false">IF(COUNTIFS('Verification Evidence'!$A$5:$A$94,$A13,'Verification Evidence'!$D$5:$D$94,"conflicting")&gt;0,"conflicting",IF(COUNTIFS('Verification Evidence'!$A$5:$A$94,$A13,'Verification Evidence'!$D$5:$D$94,"verified")+COUNTIFS('Verification Evidence'!$A$5:$A$94,$A13,'Verification Evidence'!$D$5:$D$94,"not_applicable")=9,"verified",IF(COUNTIFS('Verification Evidence'!$A$5:$A$94,$A13,'Verification Evidence'!$C$5:$C$94,"Current registration / authorization",'Verification Evidence'!$D$5:$D$94,"verified")+COUNTIFS('Verification Evidence'!$A$5:$A$94,$A13,'Verification Evidence'!$C$5:$C$94,"Current registration / authorization",'Verification Evidence'!$D$5:$D$94,"partially_verified")+COUNTIFS('Verification Evidence'!$A$5:$A$94,$A13,'Verification Evidence'!$C$5:$C$94,"Operating at recorded address",'Verification Evidence'!$D$5:$D$94,"verified")+COUNTIFS('Verification Evidence'!$A$5:$A$94,$A13,'Verification Evidence'!$C$5:$C$94,"Operating at recorded address",'Verification Evidence'!$D$5:$D$94,"partially_verified")&gt;0,"partially_verified","unverified")))</f>
        <v>unverified</v>
      </c>
      <c r="X13" s="19" t="str">
        <f aca="false">IFERROR(INDEX('Verification Evidence'!$D$5:$D$94,MATCH($A13&amp;"|Current registration / authorization",'Verification Evidence'!$P$5:$P$94,0)),"MISSING")</f>
        <v>unverified</v>
      </c>
      <c r="Y13" s="19" t="str">
        <f aca="false">IFERROR(INDEX('Verification Evidence'!$D$5:$D$94,MATCH($A13&amp;"|Household (individual) intake",'Verification Evidence'!$P$5:$P$94,0)),"MISSING")</f>
        <v>unverified</v>
      </c>
      <c r="Z13" s="19" t="n">
        <v>39</v>
      </c>
      <c r="AA13" s="19" t="n">
        <v>450</v>
      </c>
      <c r="AB13" s="7" t="s">
        <v>164</v>
      </c>
    </row>
    <row r="14" customFormat="false" ht="40.5" hidden="false" customHeight="true" outlineLevel="0" collapsed="false">
      <c r="A14" s="7" t="s">
        <v>165</v>
      </c>
      <c r="B14" s="7" t="s">
        <v>166</v>
      </c>
      <c r="C14" s="7" t="s">
        <v>108</v>
      </c>
      <c r="D14" s="7" t="s">
        <v>167</v>
      </c>
      <c r="E14" s="7"/>
      <c r="F14" s="7"/>
      <c r="G14" s="17" t="s">
        <v>110</v>
      </c>
      <c r="H14" s="7" t="s">
        <v>111</v>
      </c>
      <c r="I14" s="18" t="n">
        <v>46304</v>
      </c>
      <c r="J14" s="7" t="s">
        <v>112</v>
      </c>
      <c r="K14" s="7" t="s">
        <v>113</v>
      </c>
      <c r="L14" s="7" t="s">
        <v>114</v>
      </c>
      <c r="M14" s="7" t="s">
        <v>115</v>
      </c>
      <c r="N14" s="7" t="s">
        <v>168</v>
      </c>
      <c r="O14" s="7" t="s">
        <v>117</v>
      </c>
      <c r="P14" s="7" t="s">
        <v>118</v>
      </c>
      <c r="Q14" s="7" t="s">
        <v>117</v>
      </c>
      <c r="R14" s="7" t="s">
        <v>119</v>
      </c>
      <c r="S14" s="7"/>
      <c r="T14" s="19" t="s">
        <v>120</v>
      </c>
      <c r="U14" s="19" t="s">
        <v>120</v>
      </c>
      <c r="V14" s="7" t="s">
        <v>121</v>
      </c>
      <c r="W14" s="19" t="str">
        <f aca="false">IF(COUNTIFS('Verification Evidence'!$A$5:$A$94,$A14,'Verification Evidence'!$D$5:$D$94,"conflicting")&gt;0,"conflicting",IF(COUNTIFS('Verification Evidence'!$A$5:$A$94,$A14,'Verification Evidence'!$D$5:$D$94,"verified")+COUNTIFS('Verification Evidence'!$A$5:$A$94,$A14,'Verification Evidence'!$D$5:$D$94,"not_applicable")=9,"verified",IF(COUNTIFS('Verification Evidence'!$A$5:$A$94,$A14,'Verification Evidence'!$C$5:$C$94,"Current registration / authorization",'Verification Evidence'!$D$5:$D$94,"verified")+COUNTIFS('Verification Evidence'!$A$5:$A$94,$A14,'Verification Evidence'!$C$5:$C$94,"Current registration / authorization",'Verification Evidence'!$D$5:$D$94,"partially_verified")+COUNTIFS('Verification Evidence'!$A$5:$A$94,$A14,'Verification Evidence'!$C$5:$C$94,"Operating at recorded address",'Verification Evidence'!$D$5:$D$94,"verified")+COUNTIFS('Verification Evidence'!$A$5:$A$94,$A14,'Verification Evidence'!$C$5:$C$94,"Operating at recorded address",'Verification Evidence'!$D$5:$D$94,"partially_verified")&gt;0,"partially_verified","unverified")))</f>
        <v>unverified</v>
      </c>
      <c r="X14" s="19" t="str">
        <f aca="false">IFERROR(INDEX('Verification Evidence'!$D$5:$D$94,MATCH($A14&amp;"|Current registration / authorization",'Verification Evidence'!$P$5:$P$94,0)),"MISSING")</f>
        <v>unverified</v>
      </c>
      <c r="Y14" s="19" t="str">
        <f aca="false">IFERROR(INDEX('Verification Evidence'!$D$5:$D$94,MATCH($A14&amp;"|Household (individual) intake",'Verification Evidence'!$P$5:$P$94,0)),"MISSING")</f>
        <v>unverified</v>
      </c>
      <c r="Z14" s="19" t="n">
        <v>40</v>
      </c>
      <c r="AA14" s="19" t="n">
        <v>423</v>
      </c>
      <c r="AB14" s="7" t="s">
        <v>164</v>
      </c>
    </row>
  </sheetData>
  <conditionalFormatting sqref="W5:Y14">
    <cfRule type="cellIs" priority="2" operator="equal" aboveAverage="0" equalAverage="0" bottom="0" percent="0" rank="0" text="" dxfId="0">
      <formula>"verified"</formula>
    </cfRule>
    <cfRule type="cellIs" priority="3" operator="equal" aboveAverage="0" equalAverage="0" bottom="0" percent="0" rank="0" text="" dxfId="1">
      <formula>"partially_verified"</formula>
    </cfRule>
    <cfRule type="cellIs" priority="4" operator="equal" aboveAverage="0" equalAverage="0" bottom="0" percent="0" rank="0" text="" dxfId="2">
      <formula>"unverified"</formula>
    </cfRule>
    <cfRule type="cellIs" priority="5" operator="equal" aboveAverage="0" equalAverage="0" bottom="0" percent="0" rank="0" text="" dxfId="3">
      <formula>"conflicting"</formula>
    </cfRule>
    <cfRule type="cellIs" priority="6" operator="equal" aboveAverage="0" equalAverage="0" bottom="0" percent="0" rank="0" text="" dxfId="4">
      <formula>"not_applicable"</formula>
    </cfRule>
  </conditionalFormatting>
  <conditionalFormatting sqref="E5:E14">
    <cfRule type="expression" priority="7" aboveAverage="0" equalAverage="0" bottom="0" percent="0" rank="0" text="" dxfId="19">
      <formula>LEN(E5)=0</formula>
    </cfRule>
  </conditionalFormatting>
  <conditionalFormatting sqref="F5:F14">
    <cfRule type="expression" priority="8" aboveAverage="0" equalAverage="0" bottom="0" percent="0" rank="0" text="" dxfId="19">
      <formula>LEN(F5)=0</formula>
    </cfRule>
  </conditionalFormatting>
  <conditionalFormatting sqref="S5:S14">
    <cfRule type="expression" priority="9" aboveAverage="0" equalAverage="0" bottom="0" percent="0" rank="0" text="" dxfId="19">
      <formula>LEN(S5)=0</formula>
    </cfRule>
  </conditionalFormatting>
  <conditionalFormatting sqref="K5:K14">
    <cfRule type="cellIs" priority="10" operator="equal" aboveAverage="0" equalAverage="0" bottom="0" percent="0" rank="0" text="" dxfId="20">
      <formula>"unknown_needs_current_verification"</formula>
    </cfRule>
  </conditionalFormatting>
  <conditionalFormatting sqref="O5:O14">
    <cfRule type="cellIs" priority="11" operator="equal" aboveAverage="0" equalAverage="0" bottom="0" percent="0" rank="0" text="" dxfId="20">
      <formula>"not_checked"</formula>
    </cfRule>
  </conditionalFormatting>
  <conditionalFormatting sqref="P5:P14">
    <cfRule type="cellIs" priority="12" operator="equal" aboveAverage="0" equalAverage="0" bottom="0" percent="0" rank="0" text="" dxfId="20">
      <formula>"pending_clarification"</formula>
    </cfRule>
  </conditionalFormatting>
  <conditionalFormatting sqref="Q5:Q14">
    <cfRule type="cellIs" priority="13" operator="equal" aboveAverage="0" equalAverage="0" bottom="0" percent="0" rank="0" text="" dxfId="20">
      <formula>"not_checked"</formula>
    </cfRule>
  </conditionalFormatting>
  <conditionalFormatting sqref="R5:R14">
    <cfRule type="cellIs" priority="14" operator="equal" aboveAverage="0" equalAverage="0" bottom="0" percent="0" rank="0" text="" dxfId="20">
      <formula>"pending"</formula>
    </cfRule>
  </conditionalFormatting>
  <conditionalFormatting sqref="U5:U14">
    <cfRule type="cellIs" priority="15" operator="equal" aboveAverage="0" equalAverage="0" bottom="0" percent="0" rank="0" text="" dxfId="3">
      <formula>"False"</formula>
    </cfRule>
    <cfRule type="cellIs" priority="16" operator="equal" aboveAverage="0" equalAverage="0" bottom="0" percent="0" rank="0" text="" dxfId="21">
      <formula>"True"</formula>
    </cfRule>
  </conditionalFormatting>
  <conditionalFormatting sqref="T5:T14">
    <cfRule type="cellIs" priority="17" operator="equal" aboveAverage="0" equalAverage="0" bottom="0" percent="0" rank="0" text="" dxfId="22">
      <formula>"False"</formula>
    </cfRule>
    <cfRule type="cellIs" priority="18" operator="equal" aboveAverage="0" equalAverage="0" bottom="0" percent="0" rank="0" text="" dxfId="23">
      <formula>"True"</formula>
    </cfRule>
  </conditionalFormatting>
  <hyperlinks>
    <hyperlink ref="G5" r:id="rId1" display="https://hspcb.gov.in/uploads/pages/ewaster_66ac829eb3965.pdf"/>
    <hyperlink ref="G6" r:id="rId2" display="https://hspcb.gov.in/uploads/pages/ewaster_66ac829eb3965.pdf"/>
    <hyperlink ref="G7" r:id="rId3" display="https://hspcb.gov.in/uploads/pages/ewaster_66ac829eb3965.pdf"/>
    <hyperlink ref="G8" r:id="rId4" display="https://hspcb.gov.in/uploads/pages/ewaster_66ac829eb3965.pdf"/>
    <hyperlink ref="G9" r:id="rId5" display="https://hspcb.gov.in/uploads/pages/ewaster_66ac829eb3965.pdf"/>
    <hyperlink ref="G10" r:id="rId6" display="https://hspcb.gov.in/uploads/pages/ewaster_66ac829eb3965.pdf"/>
    <hyperlink ref="G11" r:id="rId7" display="https://hspcb.gov.in/uploads/pages/ewaster_66ac829eb3965.pdf"/>
    <hyperlink ref="G12" r:id="rId8" display="https://hspcb.gov.in/uploads/pages/ewaster_66ac829eb3965.pdf"/>
    <hyperlink ref="G13" r:id="rId9" display="https://hspcb.gov.in/uploads/pages/ewaster_66ac829eb3965.pdf"/>
    <hyperlink ref="G14" r:id="rId10" display="https://hspcb.gov.in/uploads/pages/ewaster_66ac829eb3965.pdf"/>
  </hyperlinks>
  <printOptions headings="false" gridLines="false" gridLinesSet="true" horizontalCentered="false" verticalCentered="false"/>
  <pageMargins left="0.4" right="0.4" top="0.6" bottom="0.6" header="0.511811023622047" footer="0.5"/>
  <pageSetup paperSize="9" scale="100" fitToWidth="3" fitToHeight="0" pageOrder="downThenOver" orientation="landscape" blackAndWhite="false" draft="false" cellComments="none" horizontalDpi="300" verticalDpi="300" copies="1"/>
  <headerFooter differentFirst="false" differentOddEven="false">
    <oddHeader/>
    <oddFooter>&amp;C&amp;8 &amp;A - page &amp;P of &amp;N&amp;R&amp;8 Research/review artifact - not authorization to publish</oddFooter>
  </headerFooter>
  <tableParts>
    <tablePart r:id="rId1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P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28"/>
    <col collapsed="false" customWidth="true" hidden="false" outlineLevel="0" max="4" min="4" style="0" width="17"/>
    <col collapsed="false" customWidth="true" hidden="false" outlineLevel="0" max="5" min="5" style="0" width="38"/>
    <col collapsed="false" customWidth="true" hidden="false" outlineLevel="0" max="7" min="6" style="0" width="30"/>
    <col collapsed="false" customWidth="true" hidden="false" outlineLevel="0" max="8" min="8" style="0" width="52"/>
    <col collapsed="false" customWidth="true" hidden="false" outlineLevel="0" max="9" min="9" style="0" width="12"/>
    <col collapsed="false" customWidth="true" hidden="false" outlineLevel="0" max="10" min="10" style="0" width="11"/>
    <col collapsed="false" customWidth="true" hidden="false" outlineLevel="0" max="11" min="11" style="0" width="36"/>
    <col collapsed="false" customWidth="true" hidden="false" outlineLevel="0" max="12" min="12" style="0" width="44"/>
    <col collapsed="false" customWidth="true" hidden="false" outlineLevel="0" max="13" min="13" style="0" width="22"/>
    <col collapsed="false" customWidth="true" hidden="false" outlineLevel="0" max="14" min="14" style="0" width="40"/>
    <col collapsed="false" customWidth="true" hidden="false" outlineLevel="0" max="15" min="15" style="0" width="28"/>
    <col collapsed="false" customWidth="true" hidden="false" outlineLevel="0" max="16" min="16" style="0" width="30"/>
  </cols>
  <sheetData>
    <row r="1" customFormat="false" ht="24" hidden="false" customHeight="true" outlineLevel="0" collapsed="false">
      <c r="A1" s="1" t="s">
        <v>169</v>
      </c>
    </row>
    <row r="2" customFormat="false" ht="15" hidden="false" customHeight="false" outlineLevel="0" collapsed="false">
      <c r="A2" s="2" t="s">
        <v>170</v>
      </c>
    </row>
    <row r="3" customFormat="false" ht="15" hidden="false" customHeight="false" outlineLevel="0" collapsed="false">
      <c r="A3" s="2" t="s">
        <v>171</v>
      </c>
    </row>
    <row r="4" customFormat="false" ht="31.5" hidden="false" customHeight="true" outlineLevel="0" collapsed="false">
      <c r="A4" s="5" t="s">
        <v>172</v>
      </c>
      <c r="B4" s="16" t="s">
        <v>173</v>
      </c>
      <c r="C4" s="16" t="s">
        <v>12</v>
      </c>
      <c r="D4" s="16" t="s">
        <v>174</v>
      </c>
      <c r="E4" s="16" t="s">
        <v>175</v>
      </c>
      <c r="F4" s="16" t="s">
        <v>176</v>
      </c>
      <c r="G4" s="16" t="s">
        <v>177</v>
      </c>
      <c r="H4" s="16" t="s">
        <v>178</v>
      </c>
      <c r="I4" s="16" t="s">
        <v>179</v>
      </c>
      <c r="J4" s="16" t="s">
        <v>180</v>
      </c>
      <c r="K4" s="16" t="s">
        <v>181</v>
      </c>
      <c r="L4" s="16" t="s">
        <v>182</v>
      </c>
      <c r="M4" s="16" t="s">
        <v>183</v>
      </c>
      <c r="N4" s="16" t="s">
        <v>184</v>
      </c>
      <c r="O4" s="20" t="s">
        <v>185</v>
      </c>
      <c r="P4" s="16" t="s">
        <v>186</v>
      </c>
    </row>
    <row r="5" customFormat="false" ht="102.75" hidden="false" customHeight="true" outlineLevel="0" collapsed="false">
      <c r="A5" s="7" t="s">
        <v>106</v>
      </c>
      <c r="B5" s="7" t="s">
        <v>107</v>
      </c>
      <c r="C5" s="7" t="s">
        <v>16</v>
      </c>
      <c r="D5" s="19" t="s">
        <v>7</v>
      </c>
      <c r="E5" s="7" t="s">
        <v>187</v>
      </c>
      <c r="F5" s="17" t="s">
        <v>188</v>
      </c>
      <c r="G5" s="7"/>
      <c r="H5" s="7" t="s">
        <v>189</v>
      </c>
      <c r="I5" s="18" t="n">
        <v>46305</v>
      </c>
      <c r="J5" s="19" t="s">
        <v>190</v>
      </c>
      <c r="K5" s="7" t="s">
        <v>191</v>
      </c>
      <c r="L5" s="7" t="s">
        <v>192</v>
      </c>
      <c r="M5" s="19" t="s">
        <v>193</v>
      </c>
      <c r="N5" s="7" t="s">
        <v>194</v>
      </c>
      <c r="O5" s="21"/>
      <c r="P5" s="7" t="s">
        <v>195</v>
      </c>
    </row>
    <row r="6" customFormat="false" ht="78" hidden="false" customHeight="true" outlineLevel="0" collapsed="false">
      <c r="A6" s="7" t="s">
        <v>106</v>
      </c>
      <c r="B6" s="7" t="s">
        <v>107</v>
      </c>
      <c r="C6" s="7" t="s">
        <v>17</v>
      </c>
      <c r="D6" s="19" t="s">
        <v>8</v>
      </c>
      <c r="E6" s="7" t="s">
        <v>187</v>
      </c>
      <c r="F6" s="17" t="s">
        <v>188</v>
      </c>
      <c r="G6" s="7" t="s">
        <v>196</v>
      </c>
      <c r="H6" s="7" t="s">
        <v>197</v>
      </c>
      <c r="I6" s="18" t="n">
        <v>46305</v>
      </c>
      <c r="J6" s="19" t="s">
        <v>198</v>
      </c>
      <c r="K6" s="7" t="s">
        <v>199</v>
      </c>
      <c r="L6" s="7" t="s">
        <v>200</v>
      </c>
      <c r="M6" s="19" t="s">
        <v>193</v>
      </c>
      <c r="N6" s="7" t="s">
        <v>201</v>
      </c>
      <c r="O6" s="21"/>
      <c r="P6" s="7" t="s">
        <v>202</v>
      </c>
    </row>
    <row r="7" customFormat="false" ht="52.5" hidden="false" customHeight="true" outlineLevel="0" collapsed="false">
      <c r="A7" s="7" t="s">
        <v>106</v>
      </c>
      <c r="B7" s="7" t="s">
        <v>107</v>
      </c>
      <c r="C7" s="7" t="s">
        <v>18</v>
      </c>
      <c r="D7" s="19" t="s">
        <v>8</v>
      </c>
      <c r="E7" s="7" t="s">
        <v>187</v>
      </c>
      <c r="F7" s="17" t="s">
        <v>188</v>
      </c>
      <c r="G7" s="7"/>
      <c r="H7" s="7" t="s">
        <v>203</v>
      </c>
      <c r="I7" s="18" t="n">
        <v>46305</v>
      </c>
      <c r="J7" s="19" t="s">
        <v>198</v>
      </c>
      <c r="K7" s="7" t="s">
        <v>204</v>
      </c>
      <c r="L7" s="7" t="s">
        <v>205</v>
      </c>
      <c r="M7" s="19" t="s">
        <v>193</v>
      </c>
      <c r="N7" s="7" t="s">
        <v>206</v>
      </c>
      <c r="O7" s="21"/>
      <c r="P7" s="7" t="s">
        <v>207</v>
      </c>
    </row>
    <row r="8" customFormat="false" ht="27.75" hidden="false" customHeight="true" outlineLevel="0" collapsed="false">
      <c r="A8" s="7" t="s">
        <v>106</v>
      </c>
      <c r="B8" s="7" t="s">
        <v>107</v>
      </c>
      <c r="C8" s="7" t="s">
        <v>19</v>
      </c>
      <c r="D8" s="19" t="s">
        <v>8</v>
      </c>
      <c r="E8" s="7" t="s">
        <v>208</v>
      </c>
      <c r="F8" s="7"/>
      <c r="G8" s="7"/>
      <c r="H8" s="7" t="s">
        <v>208</v>
      </c>
      <c r="I8" s="18" t="n">
        <v>46305</v>
      </c>
      <c r="J8" s="19" t="s">
        <v>198</v>
      </c>
      <c r="K8" s="7" t="s">
        <v>209</v>
      </c>
      <c r="L8" s="7"/>
      <c r="M8" s="19" t="s">
        <v>193</v>
      </c>
      <c r="N8" s="7" t="s">
        <v>210</v>
      </c>
      <c r="O8" s="21"/>
      <c r="P8" s="7" t="s">
        <v>211</v>
      </c>
    </row>
    <row r="9" customFormat="false" ht="40.5" hidden="false" customHeight="true" outlineLevel="0" collapsed="false">
      <c r="A9" s="7" t="s">
        <v>106</v>
      </c>
      <c r="B9" s="7" t="s">
        <v>107</v>
      </c>
      <c r="C9" s="7" t="s">
        <v>20</v>
      </c>
      <c r="D9" s="19" t="s">
        <v>8</v>
      </c>
      <c r="E9" s="7" t="s">
        <v>208</v>
      </c>
      <c r="F9" s="7"/>
      <c r="G9" s="7"/>
      <c r="H9" s="7" t="s">
        <v>208</v>
      </c>
      <c r="I9" s="18" t="n">
        <v>46305</v>
      </c>
      <c r="J9" s="19" t="s">
        <v>198</v>
      </c>
      <c r="K9" s="7" t="s">
        <v>209</v>
      </c>
      <c r="L9" s="7"/>
      <c r="M9" s="19" t="s">
        <v>193</v>
      </c>
      <c r="N9" s="7" t="s">
        <v>212</v>
      </c>
      <c r="O9" s="21"/>
      <c r="P9" s="7" t="s">
        <v>213</v>
      </c>
    </row>
    <row r="10" customFormat="false" ht="27.75" hidden="false" customHeight="true" outlineLevel="0" collapsed="false">
      <c r="A10" s="7" t="s">
        <v>106</v>
      </c>
      <c r="B10" s="7" t="s">
        <v>107</v>
      </c>
      <c r="C10" s="7" t="s">
        <v>21</v>
      </c>
      <c r="D10" s="19" t="s">
        <v>8</v>
      </c>
      <c r="E10" s="7" t="s">
        <v>208</v>
      </c>
      <c r="F10" s="7"/>
      <c r="G10" s="7"/>
      <c r="H10" s="7" t="s">
        <v>208</v>
      </c>
      <c r="I10" s="18" t="n">
        <v>46305</v>
      </c>
      <c r="J10" s="19" t="s">
        <v>198</v>
      </c>
      <c r="K10" s="7" t="s">
        <v>209</v>
      </c>
      <c r="L10" s="7"/>
      <c r="M10" s="19" t="s">
        <v>193</v>
      </c>
      <c r="N10" s="7" t="s">
        <v>214</v>
      </c>
      <c r="O10" s="21"/>
      <c r="P10" s="7" t="s">
        <v>215</v>
      </c>
    </row>
    <row r="11" customFormat="false" ht="27.75" hidden="false" customHeight="true" outlineLevel="0" collapsed="false">
      <c r="A11" s="7" t="s">
        <v>106</v>
      </c>
      <c r="B11" s="7" t="s">
        <v>107</v>
      </c>
      <c r="C11" s="7" t="s">
        <v>22</v>
      </c>
      <c r="D11" s="19" t="s">
        <v>8</v>
      </c>
      <c r="E11" s="7" t="s">
        <v>208</v>
      </c>
      <c r="F11" s="7"/>
      <c r="G11" s="7"/>
      <c r="H11" s="7" t="s">
        <v>208</v>
      </c>
      <c r="I11" s="18" t="n">
        <v>46305</v>
      </c>
      <c r="J11" s="19" t="s">
        <v>198</v>
      </c>
      <c r="K11" s="7" t="s">
        <v>209</v>
      </c>
      <c r="L11" s="7"/>
      <c r="M11" s="19" t="s">
        <v>193</v>
      </c>
      <c r="N11" s="7" t="s">
        <v>216</v>
      </c>
      <c r="O11" s="21"/>
      <c r="P11" s="7" t="s">
        <v>217</v>
      </c>
    </row>
    <row r="12" customFormat="false" ht="27.75" hidden="false" customHeight="true" outlineLevel="0" collapsed="false">
      <c r="A12" s="7" t="s">
        <v>106</v>
      </c>
      <c r="B12" s="7" t="s">
        <v>107</v>
      </c>
      <c r="C12" s="7" t="s">
        <v>23</v>
      </c>
      <c r="D12" s="19" t="s">
        <v>8</v>
      </c>
      <c r="E12" s="7" t="s">
        <v>208</v>
      </c>
      <c r="F12" s="7"/>
      <c r="G12" s="7"/>
      <c r="H12" s="7" t="s">
        <v>208</v>
      </c>
      <c r="I12" s="18" t="n">
        <v>46305</v>
      </c>
      <c r="J12" s="19" t="s">
        <v>198</v>
      </c>
      <c r="K12" s="7" t="s">
        <v>209</v>
      </c>
      <c r="L12" s="7"/>
      <c r="M12" s="19" t="s">
        <v>193</v>
      </c>
      <c r="N12" s="7" t="s">
        <v>218</v>
      </c>
      <c r="O12" s="21"/>
      <c r="P12" s="7" t="s">
        <v>219</v>
      </c>
    </row>
    <row r="13" customFormat="false" ht="40.5" hidden="false" customHeight="true" outlineLevel="0" collapsed="false">
      <c r="A13" s="7" t="s">
        <v>106</v>
      </c>
      <c r="B13" s="7" t="s">
        <v>107</v>
      </c>
      <c r="C13" s="7" t="s">
        <v>24</v>
      </c>
      <c r="D13" s="19" t="s">
        <v>8</v>
      </c>
      <c r="E13" s="7" t="s">
        <v>220</v>
      </c>
      <c r="F13" s="17" t="s">
        <v>196</v>
      </c>
      <c r="G13" s="7"/>
      <c r="H13" s="7" t="s">
        <v>221</v>
      </c>
      <c r="I13" s="18" t="n">
        <v>46305</v>
      </c>
      <c r="J13" s="19" t="s">
        <v>198</v>
      </c>
      <c r="K13" s="7" t="s">
        <v>222</v>
      </c>
      <c r="L13" s="7" t="s">
        <v>223</v>
      </c>
      <c r="M13" s="19" t="s">
        <v>193</v>
      </c>
      <c r="N13" s="7" t="s">
        <v>224</v>
      </c>
      <c r="O13" s="21"/>
      <c r="P13" s="7" t="s">
        <v>225</v>
      </c>
    </row>
    <row r="14" customFormat="false" ht="78" hidden="false" customHeight="true" outlineLevel="0" collapsed="false">
      <c r="A14" s="7" t="s">
        <v>123</v>
      </c>
      <c r="B14" s="7" t="s">
        <v>124</v>
      </c>
      <c r="C14" s="7" t="s">
        <v>16</v>
      </c>
      <c r="D14" s="19" t="s">
        <v>8</v>
      </c>
      <c r="E14" s="7" t="s">
        <v>187</v>
      </c>
      <c r="F14" s="17" t="s">
        <v>188</v>
      </c>
      <c r="G14" s="7"/>
      <c r="H14" s="7" t="s">
        <v>226</v>
      </c>
      <c r="I14" s="18" t="n">
        <v>46305</v>
      </c>
      <c r="J14" s="19" t="s">
        <v>198</v>
      </c>
      <c r="K14" s="7" t="s">
        <v>227</v>
      </c>
      <c r="L14" s="7" t="s">
        <v>228</v>
      </c>
      <c r="M14" s="19" t="s">
        <v>193</v>
      </c>
      <c r="N14" s="7" t="s">
        <v>194</v>
      </c>
      <c r="O14" s="21"/>
      <c r="P14" s="7" t="s">
        <v>229</v>
      </c>
    </row>
    <row r="15" customFormat="false" ht="65.25" hidden="false" customHeight="true" outlineLevel="0" collapsed="false">
      <c r="A15" s="7" t="s">
        <v>123</v>
      </c>
      <c r="B15" s="7" t="s">
        <v>124</v>
      </c>
      <c r="C15" s="7" t="s">
        <v>17</v>
      </c>
      <c r="D15" s="19" t="s">
        <v>8</v>
      </c>
      <c r="E15" s="7" t="s">
        <v>220</v>
      </c>
      <c r="F15" s="17" t="s">
        <v>196</v>
      </c>
      <c r="G15" s="7"/>
      <c r="H15" s="7" t="s">
        <v>230</v>
      </c>
      <c r="I15" s="18" t="n">
        <v>46305</v>
      </c>
      <c r="J15" s="19" t="s">
        <v>198</v>
      </c>
      <c r="K15" s="7" t="s">
        <v>231</v>
      </c>
      <c r="L15" s="7" t="s">
        <v>232</v>
      </c>
      <c r="M15" s="19" t="s">
        <v>193</v>
      </c>
      <c r="N15" s="7" t="s">
        <v>201</v>
      </c>
      <c r="O15" s="21"/>
      <c r="P15" s="7" t="s">
        <v>233</v>
      </c>
    </row>
    <row r="16" customFormat="false" ht="40.5" hidden="false" customHeight="true" outlineLevel="0" collapsed="false">
      <c r="A16" s="7" t="s">
        <v>123</v>
      </c>
      <c r="B16" s="7" t="s">
        <v>124</v>
      </c>
      <c r="C16" s="7" t="s">
        <v>18</v>
      </c>
      <c r="D16" s="19" t="s">
        <v>8</v>
      </c>
      <c r="E16" s="7" t="s">
        <v>208</v>
      </c>
      <c r="F16" s="7"/>
      <c r="G16" s="7"/>
      <c r="H16" s="7" t="s">
        <v>234</v>
      </c>
      <c r="I16" s="18" t="n">
        <v>46305</v>
      </c>
      <c r="J16" s="19" t="s">
        <v>198</v>
      </c>
      <c r="K16" s="7" t="s">
        <v>209</v>
      </c>
      <c r="L16" s="7"/>
      <c r="M16" s="19" t="s">
        <v>193</v>
      </c>
      <c r="N16" s="7" t="s">
        <v>206</v>
      </c>
      <c r="O16" s="21"/>
      <c r="P16" s="7" t="s">
        <v>235</v>
      </c>
    </row>
    <row r="17" customFormat="false" ht="27.75" hidden="false" customHeight="true" outlineLevel="0" collapsed="false">
      <c r="A17" s="7" t="s">
        <v>123</v>
      </c>
      <c r="B17" s="7" t="s">
        <v>124</v>
      </c>
      <c r="C17" s="7" t="s">
        <v>19</v>
      </c>
      <c r="D17" s="19" t="s">
        <v>8</v>
      </c>
      <c r="E17" s="7" t="s">
        <v>208</v>
      </c>
      <c r="F17" s="7"/>
      <c r="G17" s="7"/>
      <c r="H17" s="7" t="s">
        <v>208</v>
      </c>
      <c r="I17" s="18" t="n">
        <v>46305</v>
      </c>
      <c r="J17" s="19" t="s">
        <v>198</v>
      </c>
      <c r="K17" s="7" t="s">
        <v>209</v>
      </c>
      <c r="L17" s="7"/>
      <c r="M17" s="19" t="s">
        <v>193</v>
      </c>
      <c r="N17" s="7" t="s">
        <v>210</v>
      </c>
      <c r="O17" s="21"/>
      <c r="P17" s="7" t="s">
        <v>236</v>
      </c>
    </row>
    <row r="18" customFormat="false" ht="40.5" hidden="false" customHeight="true" outlineLevel="0" collapsed="false">
      <c r="A18" s="7" t="s">
        <v>123</v>
      </c>
      <c r="B18" s="7" t="s">
        <v>124</v>
      </c>
      <c r="C18" s="7" t="s">
        <v>20</v>
      </c>
      <c r="D18" s="19" t="s">
        <v>8</v>
      </c>
      <c r="E18" s="7" t="s">
        <v>208</v>
      </c>
      <c r="F18" s="7"/>
      <c r="G18" s="7"/>
      <c r="H18" s="7" t="s">
        <v>208</v>
      </c>
      <c r="I18" s="18" t="n">
        <v>46305</v>
      </c>
      <c r="J18" s="19" t="s">
        <v>198</v>
      </c>
      <c r="K18" s="7" t="s">
        <v>209</v>
      </c>
      <c r="L18" s="7"/>
      <c r="M18" s="19" t="s">
        <v>193</v>
      </c>
      <c r="N18" s="7" t="s">
        <v>212</v>
      </c>
      <c r="O18" s="21"/>
      <c r="P18" s="7" t="s">
        <v>237</v>
      </c>
    </row>
    <row r="19" customFormat="false" ht="27.75" hidden="false" customHeight="true" outlineLevel="0" collapsed="false">
      <c r="A19" s="7" t="s">
        <v>123</v>
      </c>
      <c r="B19" s="7" t="s">
        <v>124</v>
      </c>
      <c r="C19" s="7" t="s">
        <v>21</v>
      </c>
      <c r="D19" s="19" t="s">
        <v>8</v>
      </c>
      <c r="E19" s="7" t="s">
        <v>208</v>
      </c>
      <c r="F19" s="7"/>
      <c r="G19" s="7"/>
      <c r="H19" s="7" t="s">
        <v>208</v>
      </c>
      <c r="I19" s="18" t="n">
        <v>46305</v>
      </c>
      <c r="J19" s="19" t="s">
        <v>198</v>
      </c>
      <c r="K19" s="7" t="s">
        <v>209</v>
      </c>
      <c r="L19" s="7"/>
      <c r="M19" s="19" t="s">
        <v>193</v>
      </c>
      <c r="N19" s="7" t="s">
        <v>214</v>
      </c>
      <c r="O19" s="21"/>
      <c r="P19" s="7" t="s">
        <v>238</v>
      </c>
    </row>
    <row r="20" customFormat="false" ht="27.75" hidden="false" customHeight="true" outlineLevel="0" collapsed="false">
      <c r="A20" s="7" t="s">
        <v>123</v>
      </c>
      <c r="B20" s="7" t="s">
        <v>124</v>
      </c>
      <c r="C20" s="7" t="s">
        <v>22</v>
      </c>
      <c r="D20" s="19" t="s">
        <v>8</v>
      </c>
      <c r="E20" s="7" t="s">
        <v>208</v>
      </c>
      <c r="F20" s="7"/>
      <c r="G20" s="7"/>
      <c r="H20" s="7" t="s">
        <v>208</v>
      </c>
      <c r="I20" s="18" t="n">
        <v>46305</v>
      </c>
      <c r="J20" s="19" t="s">
        <v>198</v>
      </c>
      <c r="K20" s="7" t="s">
        <v>209</v>
      </c>
      <c r="L20" s="7"/>
      <c r="M20" s="19" t="s">
        <v>193</v>
      </c>
      <c r="N20" s="7" t="s">
        <v>216</v>
      </c>
      <c r="O20" s="21"/>
      <c r="P20" s="7" t="s">
        <v>239</v>
      </c>
    </row>
    <row r="21" customFormat="false" ht="27.75" hidden="false" customHeight="true" outlineLevel="0" collapsed="false">
      <c r="A21" s="7" t="s">
        <v>123</v>
      </c>
      <c r="B21" s="7" t="s">
        <v>124</v>
      </c>
      <c r="C21" s="7" t="s">
        <v>23</v>
      </c>
      <c r="D21" s="19" t="s">
        <v>8</v>
      </c>
      <c r="E21" s="7" t="s">
        <v>208</v>
      </c>
      <c r="F21" s="7"/>
      <c r="G21" s="7"/>
      <c r="H21" s="7" t="s">
        <v>208</v>
      </c>
      <c r="I21" s="18" t="n">
        <v>46305</v>
      </c>
      <c r="J21" s="19" t="s">
        <v>198</v>
      </c>
      <c r="K21" s="7" t="s">
        <v>209</v>
      </c>
      <c r="L21" s="7"/>
      <c r="M21" s="19" t="s">
        <v>193</v>
      </c>
      <c r="N21" s="7" t="s">
        <v>218</v>
      </c>
      <c r="O21" s="21"/>
      <c r="P21" s="7" t="s">
        <v>240</v>
      </c>
    </row>
    <row r="22" customFormat="false" ht="40.5" hidden="false" customHeight="true" outlineLevel="0" collapsed="false">
      <c r="A22" s="7" t="s">
        <v>123</v>
      </c>
      <c r="B22" s="7" t="s">
        <v>124</v>
      </c>
      <c r="C22" s="7" t="s">
        <v>24</v>
      </c>
      <c r="D22" s="19" t="s">
        <v>8</v>
      </c>
      <c r="E22" s="7" t="s">
        <v>220</v>
      </c>
      <c r="F22" s="17" t="s">
        <v>196</v>
      </c>
      <c r="G22" s="7"/>
      <c r="H22" s="7" t="s">
        <v>221</v>
      </c>
      <c r="I22" s="18" t="n">
        <v>46305</v>
      </c>
      <c r="J22" s="19" t="s">
        <v>198</v>
      </c>
      <c r="K22" s="7" t="s">
        <v>222</v>
      </c>
      <c r="L22" s="7" t="s">
        <v>223</v>
      </c>
      <c r="M22" s="19" t="s">
        <v>193</v>
      </c>
      <c r="N22" s="7" t="s">
        <v>224</v>
      </c>
      <c r="O22" s="21"/>
      <c r="P22" s="7" t="s">
        <v>241</v>
      </c>
    </row>
    <row r="23" customFormat="false" ht="140.25" hidden="false" customHeight="true" outlineLevel="0" collapsed="false">
      <c r="A23" s="7" t="s">
        <v>130</v>
      </c>
      <c r="B23" s="7" t="s">
        <v>131</v>
      </c>
      <c r="C23" s="7" t="s">
        <v>16</v>
      </c>
      <c r="D23" s="19" t="s">
        <v>7</v>
      </c>
      <c r="E23" s="7" t="s">
        <v>187</v>
      </c>
      <c r="F23" s="17" t="s">
        <v>188</v>
      </c>
      <c r="G23" s="7" t="s">
        <v>242</v>
      </c>
      <c r="H23" s="7" t="s">
        <v>243</v>
      </c>
      <c r="I23" s="18" t="n">
        <v>46305</v>
      </c>
      <c r="J23" s="19" t="s">
        <v>190</v>
      </c>
      <c r="K23" s="7" t="s">
        <v>244</v>
      </c>
      <c r="L23" s="7" t="s">
        <v>245</v>
      </c>
      <c r="M23" s="19" t="s">
        <v>193</v>
      </c>
      <c r="N23" s="7" t="s">
        <v>194</v>
      </c>
      <c r="O23" s="21"/>
      <c r="P23" s="7" t="s">
        <v>246</v>
      </c>
    </row>
    <row r="24" customFormat="false" ht="140.25" hidden="false" customHeight="true" outlineLevel="0" collapsed="false">
      <c r="A24" s="7" t="s">
        <v>130</v>
      </c>
      <c r="B24" s="7" t="s">
        <v>131</v>
      </c>
      <c r="C24" s="7" t="s">
        <v>17</v>
      </c>
      <c r="D24" s="19" t="s">
        <v>7</v>
      </c>
      <c r="E24" s="7" t="s">
        <v>187</v>
      </c>
      <c r="F24" s="17" t="s">
        <v>188</v>
      </c>
      <c r="G24" s="7" t="s">
        <v>247</v>
      </c>
      <c r="H24" s="7" t="s">
        <v>248</v>
      </c>
      <c r="I24" s="18" t="n">
        <v>46305</v>
      </c>
      <c r="J24" s="19" t="s">
        <v>198</v>
      </c>
      <c r="K24" s="7" t="s">
        <v>249</v>
      </c>
      <c r="L24" s="7" t="s">
        <v>250</v>
      </c>
      <c r="M24" s="19" t="s">
        <v>193</v>
      </c>
      <c r="N24" s="7" t="s">
        <v>201</v>
      </c>
      <c r="O24" s="21"/>
      <c r="P24" s="7" t="s">
        <v>251</v>
      </c>
    </row>
    <row r="25" customFormat="false" ht="52.5" hidden="false" customHeight="true" outlineLevel="0" collapsed="false">
      <c r="A25" s="7" t="s">
        <v>130</v>
      </c>
      <c r="B25" s="7" t="s">
        <v>131</v>
      </c>
      <c r="C25" s="7" t="s">
        <v>18</v>
      </c>
      <c r="D25" s="19" t="s">
        <v>7</v>
      </c>
      <c r="E25" s="7" t="s">
        <v>252</v>
      </c>
      <c r="F25" s="17" t="s">
        <v>253</v>
      </c>
      <c r="G25" s="7" t="s">
        <v>254</v>
      </c>
      <c r="H25" s="7" t="s">
        <v>255</v>
      </c>
      <c r="I25" s="18" t="n">
        <v>46305</v>
      </c>
      <c r="J25" s="19" t="s">
        <v>198</v>
      </c>
      <c r="K25" s="7" t="s">
        <v>256</v>
      </c>
      <c r="L25" s="7" t="s">
        <v>257</v>
      </c>
      <c r="M25" s="19" t="s">
        <v>193</v>
      </c>
      <c r="N25" s="7" t="s">
        <v>206</v>
      </c>
      <c r="O25" s="21"/>
      <c r="P25" s="7" t="s">
        <v>258</v>
      </c>
    </row>
    <row r="26" customFormat="false" ht="40.5" hidden="false" customHeight="true" outlineLevel="0" collapsed="false">
      <c r="A26" s="7" t="s">
        <v>130</v>
      </c>
      <c r="B26" s="7" t="s">
        <v>131</v>
      </c>
      <c r="C26" s="7" t="s">
        <v>19</v>
      </c>
      <c r="D26" s="19" t="s">
        <v>8</v>
      </c>
      <c r="E26" s="7" t="s">
        <v>252</v>
      </c>
      <c r="F26" s="17" t="s">
        <v>253</v>
      </c>
      <c r="G26" s="7"/>
      <c r="H26" s="7" t="s">
        <v>259</v>
      </c>
      <c r="I26" s="18" t="n">
        <v>46305</v>
      </c>
      <c r="J26" s="19" t="s">
        <v>198</v>
      </c>
      <c r="K26" s="7" t="s">
        <v>260</v>
      </c>
      <c r="L26" s="7" t="s">
        <v>261</v>
      </c>
      <c r="M26" s="19" t="s">
        <v>193</v>
      </c>
      <c r="N26" s="7" t="s">
        <v>210</v>
      </c>
      <c r="O26" s="21"/>
      <c r="P26" s="7" t="s">
        <v>262</v>
      </c>
    </row>
    <row r="27" customFormat="false" ht="40.5" hidden="false" customHeight="true" outlineLevel="0" collapsed="false">
      <c r="A27" s="7" t="s">
        <v>130</v>
      </c>
      <c r="B27" s="7" t="s">
        <v>131</v>
      </c>
      <c r="C27" s="7" t="s">
        <v>20</v>
      </c>
      <c r="D27" s="19" t="s">
        <v>7</v>
      </c>
      <c r="E27" s="7" t="s">
        <v>263</v>
      </c>
      <c r="F27" s="17" t="s">
        <v>254</v>
      </c>
      <c r="G27" s="7" t="s">
        <v>253</v>
      </c>
      <c r="H27" s="7" t="s">
        <v>264</v>
      </c>
      <c r="I27" s="18" t="n">
        <v>46305</v>
      </c>
      <c r="J27" s="19" t="s">
        <v>198</v>
      </c>
      <c r="K27" s="7" t="s">
        <v>265</v>
      </c>
      <c r="L27" s="7" t="s">
        <v>266</v>
      </c>
      <c r="M27" s="19" t="s">
        <v>193</v>
      </c>
      <c r="N27" s="7" t="s">
        <v>212</v>
      </c>
      <c r="O27" s="21"/>
      <c r="P27" s="7" t="s">
        <v>267</v>
      </c>
    </row>
    <row r="28" customFormat="false" ht="40.5" hidden="false" customHeight="true" outlineLevel="0" collapsed="false">
      <c r="A28" s="7" t="s">
        <v>130</v>
      </c>
      <c r="B28" s="7" t="s">
        <v>131</v>
      </c>
      <c r="C28" s="7" t="s">
        <v>21</v>
      </c>
      <c r="D28" s="19" t="s">
        <v>8</v>
      </c>
      <c r="E28" s="7" t="s">
        <v>263</v>
      </c>
      <c r="F28" s="17" t="s">
        <v>254</v>
      </c>
      <c r="G28" s="7"/>
      <c r="H28" s="7" t="s">
        <v>268</v>
      </c>
      <c r="I28" s="18" t="n">
        <v>46305</v>
      </c>
      <c r="J28" s="19" t="s">
        <v>198</v>
      </c>
      <c r="K28" s="7" t="s">
        <v>269</v>
      </c>
      <c r="L28" s="7" t="s">
        <v>270</v>
      </c>
      <c r="M28" s="19" t="s">
        <v>193</v>
      </c>
      <c r="N28" s="7" t="s">
        <v>214</v>
      </c>
      <c r="O28" s="21"/>
      <c r="P28" s="7" t="s">
        <v>271</v>
      </c>
    </row>
    <row r="29" customFormat="false" ht="40.5" hidden="false" customHeight="true" outlineLevel="0" collapsed="false">
      <c r="A29" s="7" t="s">
        <v>130</v>
      </c>
      <c r="B29" s="7" t="s">
        <v>131</v>
      </c>
      <c r="C29" s="7" t="s">
        <v>22</v>
      </c>
      <c r="D29" s="19" t="s">
        <v>8</v>
      </c>
      <c r="E29" s="7" t="s">
        <v>263</v>
      </c>
      <c r="F29" s="17" t="s">
        <v>254</v>
      </c>
      <c r="G29" s="7"/>
      <c r="H29" s="7" t="s">
        <v>272</v>
      </c>
      <c r="I29" s="18" t="n">
        <v>46305</v>
      </c>
      <c r="J29" s="19" t="s">
        <v>198</v>
      </c>
      <c r="K29" s="7" t="s">
        <v>273</v>
      </c>
      <c r="L29" s="7"/>
      <c r="M29" s="19" t="s">
        <v>193</v>
      </c>
      <c r="N29" s="7" t="s">
        <v>216</v>
      </c>
      <c r="O29" s="21"/>
      <c r="P29" s="7" t="s">
        <v>274</v>
      </c>
    </row>
    <row r="30" customFormat="false" ht="40.5" hidden="false" customHeight="true" outlineLevel="0" collapsed="false">
      <c r="A30" s="7" t="s">
        <v>130</v>
      </c>
      <c r="B30" s="7" t="s">
        <v>131</v>
      </c>
      <c r="C30" s="7" t="s">
        <v>23</v>
      </c>
      <c r="D30" s="19" t="s">
        <v>8</v>
      </c>
      <c r="E30" s="7" t="s">
        <v>263</v>
      </c>
      <c r="F30" s="17" t="s">
        <v>254</v>
      </c>
      <c r="G30" s="7"/>
      <c r="H30" s="7" t="s">
        <v>275</v>
      </c>
      <c r="I30" s="18" t="n">
        <v>46305</v>
      </c>
      <c r="J30" s="19" t="s">
        <v>198</v>
      </c>
      <c r="K30" s="7" t="s">
        <v>276</v>
      </c>
      <c r="L30" s="7"/>
      <c r="M30" s="19" t="s">
        <v>193</v>
      </c>
      <c r="N30" s="7" t="s">
        <v>218</v>
      </c>
      <c r="O30" s="21"/>
      <c r="P30" s="7" t="s">
        <v>277</v>
      </c>
    </row>
    <row r="31" customFormat="false" ht="40.5" hidden="false" customHeight="true" outlineLevel="0" collapsed="false">
      <c r="A31" s="7" t="s">
        <v>130</v>
      </c>
      <c r="B31" s="7" t="s">
        <v>131</v>
      </c>
      <c r="C31" s="7" t="s">
        <v>24</v>
      </c>
      <c r="D31" s="19" t="s">
        <v>8</v>
      </c>
      <c r="E31" s="7" t="s">
        <v>220</v>
      </c>
      <c r="F31" s="17" t="s">
        <v>196</v>
      </c>
      <c r="G31" s="7"/>
      <c r="H31" s="7" t="s">
        <v>221</v>
      </c>
      <c r="I31" s="18" t="n">
        <v>46305</v>
      </c>
      <c r="J31" s="19" t="s">
        <v>198</v>
      </c>
      <c r="K31" s="7" t="s">
        <v>222</v>
      </c>
      <c r="L31" s="7" t="s">
        <v>223</v>
      </c>
      <c r="M31" s="19" t="s">
        <v>193</v>
      </c>
      <c r="N31" s="7" t="s">
        <v>224</v>
      </c>
      <c r="O31" s="21"/>
      <c r="P31" s="7" t="s">
        <v>278</v>
      </c>
    </row>
    <row r="32" customFormat="false" ht="52.5" hidden="false" customHeight="true" outlineLevel="0" collapsed="false">
      <c r="A32" s="7" t="s">
        <v>135</v>
      </c>
      <c r="B32" s="7" t="s">
        <v>136</v>
      </c>
      <c r="C32" s="7" t="s">
        <v>16</v>
      </c>
      <c r="D32" s="19" t="s">
        <v>7</v>
      </c>
      <c r="E32" s="7" t="s">
        <v>187</v>
      </c>
      <c r="F32" s="17" t="s">
        <v>188</v>
      </c>
      <c r="G32" s="7"/>
      <c r="H32" s="7" t="s">
        <v>279</v>
      </c>
      <c r="I32" s="18" t="n">
        <v>46305</v>
      </c>
      <c r="J32" s="19" t="s">
        <v>190</v>
      </c>
      <c r="K32" s="7" t="s">
        <v>280</v>
      </c>
      <c r="L32" s="7" t="s">
        <v>281</v>
      </c>
      <c r="M32" s="19" t="s">
        <v>193</v>
      </c>
      <c r="N32" s="7" t="s">
        <v>194</v>
      </c>
      <c r="O32" s="21"/>
      <c r="P32" s="7" t="s">
        <v>282</v>
      </c>
    </row>
    <row r="33" customFormat="false" ht="78" hidden="false" customHeight="true" outlineLevel="0" collapsed="false">
      <c r="A33" s="7" t="s">
        <v>135</v>
      </c>
      <c r="B33" s="7" t="s">
        <v>136</v>
      </c>
      <c r="C33" s="7" t="s">
        <v>17</v>
      </c>
      <c r="D33" s="19" t="s">
        <v>8</v>
      </c>
      <c r="E33" s="7" t="s">
        <v>187</v>
      </c>
      <c r="F33" s="17" t="s">
        <v>188</v>
      </c>
      <c r="G33" s="7" t="s">
        <v>196</v>
      </c>
      <c r="H33" s="7" t="s">
        <v>197</v>
      </c>
      <c r="I33" s="18" t="n">
        <v>46305</v>
      </c>
      <c r="J33" s="19" t="s">
        <v>198</v>
      </c>
      <c r="K33" s="7" t="s">
        <v>283</v>
      </c>
      <c r="L33" s="7" t="s">
        <v>200</v>
      </c>
      <c r="M33" s="19" t="s">
        <v>193</v>
      </c>
      <c r="N33" s="7" t="s">
        <v>201</v>
      </c>
      <c r="O33" s="21"/>
      <c r="P33" s="7" t="s">
        <v>284</v>
      </c>
    </row>
    <row r="34" customFormat="false" ht="40.5" hidden="false" customHeight="true" outlineLevel="0" collapsed="false">
      <c r="A34" s="7" t="s">
        <v>135</v>
      </c>
      <c r="B34" s="7" t="s">
        <v>136</v>
      </c>
      <c r="C34" s="7" t="s">
        <v>18</v>
      </c>
      <c r="D34" s="19" t="s">
        <v>8</v>
      </c>
      <c r="E34" s="7" t="s">
        <v>208</v>
      </c>
      <c r="F34" s="7"/>
      <c r="G34" s="7"/>
      <c r="H34" s="7" t="s">
        <v>234</v>
      </c>
      <c r="I34" s="18" t="n">
        <v>46305</v>
      </c>
      <c r="J34" s="19" t="s">
        <v>198</v>
      </c>
      <c r="K34" s="7" t="s">
        <v>209</v>
      </c>
      <c r="L34" s="7"/>
      <c r="M34" s="19" t="s">
        <v>193</v>
      </c>
      <c r="N34" s="7" t="s">
        <v>206</v>
      </c>
      <c r="O34" s="21"/>
      <c r="P34" s="7" t="s">
        <v>285</v>
      </c>
    </row>
    <row r="35" customFormat="false" ht="27.75" hidden="false" customHeight="true" outlineLevel="0" collapsed="false">
      <c r="A35" s="7" t="s">
        <v>135</v>
      </c>
      <c r="B35" s="7" t="s">
        <v>136</v>
      </c>
      <c r="C35" s="7" t="s">
        <v>19</v>
      </c>
      <c r="D35" s="19" t="s">
        <v>8</v>
      </c>
      <c r="E35" s="7" t="s">
        <v>208</v>
      </c>
      <c r="F35" s="7"/>
      <c r="G35" s="7"/>
      <c r="H35" s="7" t="s">
        <v>208</v>
      </c>
      <c r="I35" s="18" t="n">
        <v>46305</v>
      </c>
      <c r="J35" s="19" t="s">
        <v>198</v>
      </c>
      <c r="K35" s="7" t="s">
        <v>209</v>
      </c>
      <c r="L35" s="7"/>
      <c r="M35" s="19" t="s">
        <v>193</v>
      </c>
      <c r="N35" s="7" t="s">
        <v>210</v>
      </c>
      <c r="O35" s="21"/>
      <c r="P35" s="7" t="s">
        <v>286</v>
      </c>
    </row>
    <row r="36" customFormat="false" ht="40.5" hidden="false" customHeight="true" outlineLevel="0" collapsed="false">
      <c r="A36" s="7" t="s">
        <v>135</v>
      </c>
      <c r="B36" s="7" t="s">
        <v>136</v>
      </c>
      <c r="C36" s="7" t="s">
        <v>20</v>
      </c>
      <c r="D36" s="19" t="s">
        <v>8</v>
      </c>
      <c r="E36" s="7" t="s">
        <v>208</v>
      </c>
      <c r="F36" s="7"/>
      <c r="G36" s="7"/>
      <c r="H36" s="7" t="s">
        <v>208</v>
      </c>
      <c r="I36" s="18" t="n">
        <v>46305</v>
      </c>
      <c r="J36" s="19" t="s">
        <v>198</v>
      </c>
      <c r="K36" s="7" t="s">
        <v>209</v>
      </c>
      <c r="L36" s="7"/>
      <c r="M36" s="19" t="s">
        <v>193</v>
      </c>
      <c r="N36" s="7" t="s">
        <v>212</v>
      </c>
      <c r="O36" s="21"/>
      <c r="P36" s="7" t="s">
        <v>287</v>
      </c>
    </row>
    <row r="37" customFormat="false" ht="27.75" hidden="false" customHeight="true" outlineLevel="0" collapsed="false">
      <c r="A37" s="7" t="s">
        <v>135</v>
      </c>
      <c r="B37" s="7" t="s">
        <v>136</v>
      </c>
      <c r="C37" s="7" t="s">
        <v>21</v>
      </c>
      <c r="D37" s="19" t="s">
        <v>8</v>
      </c>
      <c r="E37" s="7" t="s">
        <v>208</v>
      </c>
      <c r="F37" s="7"/>
      <c r="G37" s="7"/>
      <c r="H37" s="7" t="s">
        <v>208</v>
      </c>
      <c r="I37" s="18" t="n">
        <v>46305</v>
      </c>
      <c r="J37" s="19" t="s">
        <v>198</v>
      </c>
      <c r="K37" s="7" t="s">
        <v>209</v>
      </c>
      <c r="L37" s="7"/>
      <c r="M37" s="19" t="s">
        <v>193</v>
      </c>
      <c r="N37" s="7" t="s">
        <v>214</v>
      </c>
      <c r="O37" s="21"/>
      <c r="P37" s="7" t="s">
        <v>288</v>
      </c>
    </row>
    <row r="38" customFormat="false" ht="27.75" hidden="false" customHeight="true" outlineLevel="0" collapsed="false">
      <c r="A38" s="7" t="s">
        <v>135</v>
      </c>
      <c r="B38" s="7" t="s">
        <v>136</v>
      </c>
      <c r="C38" s="7" t="s">
        <v>22</v>
      </c>
      <c r="D38" s="19" t="s">
        <v>8</v>
      </c>
      <c r="E38" s="7" t="s">
        <v>208</v>
      </c>
      <c r="F38" s="7"/>
      <c r="G38" s="7"/>
      <c r="H38" s="7" t="s">
        <v>208</v>
      </c>
      <c r="I38" s="18" t="n">
        <v>46305</v>
      </c>
      <c r="J38" s="19" t="s">
        <v>198</v>
      </c>
      <c r="K38" s="7" t="s">
        <v>209</v>
      </c>
      <c r="L38" s="7"/>
      <c r="M38" s="19" t="s">
        <v>193</v>
      </c>
      <c r="N38" s="7" t="s">
        <v>216</v>
      </c>
      <c r="O38" s="21"/>
      <c r="P38" s="7" t="s">
        <v>289</v>
      </c>
    </row>
    <row r="39" customFormat="false" ht="27.75" hidden="false" customHeight="true" outlineLevel="0" collapsed="false">
      <c r="A39" s="7" t="s">
        <v>135</v>
      </c>
      <c r="B39" s="7" t="s">
        <v>136</v>
      </c>
      <c r="C39" s="7" t="s">
        <v>23</v>
      </c>
      <c r="D39" s="19" t="s">
        <v>8</v>
      </c>
      <c r="E39" s="7" t="s">
        <v>208</v>
      </c>
      <c r="F39" s="7"/>
      <c r="G39" s="7"/>
      <c r="H39" s="7" t="s">
        <v>208</v>
      </c>
      <c r="I39" s="18" t="n">
        <v>46305</v>
      </c>
      <c r="J39" s="19" t="s">
        <v>198</v>
      </c>
      <c r="K39" s="7" t="s">
        <v>209</v>
      </c>
      <c r="L39" s="7"/>
      <c r="M39" s="19" t="s">
        <v>193</v>
      </c>
      <c r="N39" s="7" t="s">
        <v>218</v>
      </c>
      <c r="O39" s="21"/>
      <c r="P39" s="7" t="s">
        <v>290</v>
      </c>
    </row>
    <row r="40" customFormat="false" ht="40.5" hidden="false" customHeight="true" outlineLevel="0" collapsed="false">
      <c r="A40" s="7" t="s">
        <v>135</v>
      </c>
      <c r="B40" s="7" t="s">
        <v>136</v>
      </c>
      <c r="C40" s="7" t="s">
        <v>24</v>
      </c>
      <c r="D40" s="19" t="s">
        <v>8</v>
      </c>
      <c r="E40" s="7" t="s">
        <v>220</v>
      </c>
      <c r="F40" s="17" t="s">
        <v>196</v>
      </c>
      <c r="G40" s="7"/>
      <c r="H40" s="7" t="s">
        <v>221</v>
      </c>
      <c r="I40" s="18" t="n">
        <v>46305</v>
      </c>
      <c r="J40" s="19" t="s">
        <v>198</v>
      </c>
      <c r="K40" s="7" t="s">
        <v>222</v>
      </c>
      <c r="L40" s="7" t="s">
        <v>223</v>
      </c>
      <c r="M40" s="19" t="s">
        <v>193</v>
      </c>
      <c r="N40" s="7" t="s">
        <v>224</v>
      </c>
      <c r="O40" s="21"/>
      <c r="P40" s="7" t="s">
        <v>291</v>
      </c>
    </row>
    <row r="41" customFormat="false" ht="52.5" hidden="false" customHeight="true" outlineLevel="0" collapsed="false">
      <c r="A41" s="7" t="s">
        <v>140</v>
      </c>
      <c r="B41" s="7" t="s">
        <v>141</v>
      </c>
      <c r="C41" s="7" t="s">
        <v>16</v>
      </c>
      <c r="D41" s="19" t="s">
        <v>7</v>
      </c>
      <c r="E41" s="7" t="s">
        <v>187</v>
      </c>
      <c r="F41" s="17" t="s">
        <v>188</v>
      </c>
      <c r="G41" s="7"/>
      <c r="H41" s="7" t="s">
        <v>292</v>
      </c>
      <c r="I41" s="18" t="n">
        <v>46305</v>
      </c>
      <c r="J41" s="19" t="s">
        <v>190</v>
      </c>
      <c r="K41" s="7" t="s">
        <v>293</v>
      </c>
      <c r="L41" s="7" t="s">
        <v>281</v>
      </c>
      <c r="M41" s="19" t="s">
        <v>193</v>
      </c>
      <c r="N41" s="7" t="s">
        <v>194</v>
      </c>
      <c r="O41" s="21"/>
      <c r="P41" s="7" t="s">
        <v>294</v>
      </c>
    </row>
    <row r="42" customFormat="false" ht="78" hidden="false" customHeight="true" outlineLevel="0" collapsed="false">
      <c r="A42" s="7" t="s">
        <v>140</v>
      </c>
      <c r="B42" s="7" t="s">
        <v>141</v>
      </c>
      <c r="C42" s="7" t="s">
        <v>17</v>
      </c>
      <c r="D42" s="19" t="s">
        <v>8</v>
      </c>
      <c r="E42" s="7" t="s">
        <v>187</v>
      </c>
      <c r="F42" s="17" t="s">
        <v>188</v>
      </c>
      <c r="G42" s="7" t="s">
        <v>196</v>
      </c>
      <c r="H42" s="7" t="s">
        <v>197</v>
      </c>
      <c r="I42" s="18" t="n">
        <v>46305</v>
      </c>
      <c r="J42" s="19" t="s">
        <v>198</v>
      </c>
      <c r="K42" s="7" t="s">
        <v>283</v>
      </c>
      <c r="L42" s="7" t="s">
        <v>200</v>
      </c>
      <c r="M42" s="19" t="s">
        <v>193</v>
      </c>
      <c r="N42" s="7" t="s">
        <v>201</v>
      </c>
      <c r="O42" s="21"/>
      <c r="P42" s="7" t="s">
        <v>295</v>
      </c>
    </row>
    <row r="43" customFormat="false" ht="40.5" hidden="false" customHeight="true" outlineLevel="0" collapsed="false">
      <c r="A43" s="7" t="s">
        <v>140</v>
      </c>
      <c r="B43" s="7" t="s">
        <v>141</v>
      </c>
      <c r="C43" s="7" t="s">
        <v>18</v>
      </c>
      <c r="D43" s="19" t="s">
        <v>8</v>
      </c>
      <c r="E43" s="7" t="s">
        <v>208</v>
      </c>
      <c r="F43" s="7"/>
      <c r="G43" s="7"/>
      <c r="H43" s="7" t="s">
        <v>234</v>
      </c>
      <c r="I43" s="18" t="n">
        <v>46305</v>
      </c>
      <c r="J43" s="19" t="s">
        <v>198</v>
      </c>
      <c r="K43" s="7" t="s">
        <v>209</v>
      </c>
      <c r="L43" s="7"/>
      <c r="M43" s="19" t="s">
        <v>193</v>
      </c>
      <c r="N43" s="7" t="s">
        <v>206</v>
      </c>
      <c r="O43" s="21"/>
      <c r="P43" s="7" t="s">
        <v>296</v>
      </c>
    </row>
    <row r="44" customFormat="false" ht="27.75" hidden="false" customHeight="true" outlineLevel="0" collapsed="false">
      <c r="A44" s="7" t="s">
        <v>140</v>
      </c>
      <c r="B44" s="7" t="s">
        <v>141</v>
      </c>
      <c r="C44" s="7" t="s">
        <v>19</v>
      </c>
      <c r="D44" s="19" t="s">
        <v>8</v>
      </c>
      <c r="E44" s="7" t="s">
        <v>208</v>
      </c>
      <c r="F44" s="7"/>
      <c r="G44" s="7"/>
      <c r="H44" s="7" t="s">
        <v>208</v>
      </c>
      <c r="I44" s="18" t="n">
        <v>46305</v>
      </c>
      <c r="J44" s="19" t="s">
        <v>198</v>
      </c>
      <c r="K44" s="7" t="s">
        <v>209</v>
      </c>
      <c r="L44" s="7"/>
      <c r="M44" s="19" t="s">
        <v>193</v>
      </c>
      <c r="N44" s="7" t="s">
        <v>210</v>
      </c>
      <c r="O44" s="21"/>
      <c r="P44" s="7" t="s">
        <v>297</v>
      </c>
    </row>
    <row r="45" customFormat="false" ht="40.5" hidden="false" customHeight="true" outlineLevel="0" collapsed="false">
      <c r="A45" s="7" t="s">
        <v>140</v>
      </c>
      <c r="B45" s="7" t="s">
        <v>141</v>
      </c>
      <c r="C45" s="7" t="s">
        <v>20</v>
      </c>
      <c r="D45" s="19" t="s">
        <v>8</v>
      </c>
      <c r="E45" s="7" t="s">
        <v>208</v>
      </c>
      <c r="F45" s="7"/>
      <c r="G45" s="7"/>
      <c r="H45" s="7" t="s">
        <v>208</v>
      </c>
      <c r="I45" s="18" t="n">
        <v>46305</v>
      </c>
      <c r="J45" s="19" t="s">
        <v>198</v>
      </c>
      <c r="K45" s="7" t="s">
        <v>209</v>
      </c>
      <c r="L45" s="7"/>
      <c r="M45" s="19" t="s">
        <v>193</v>
      </c>
      <c r="N45" s="7" t="s">
        <v>212</v>
      </c>
      <c r="O45" s="21"/>
      <c r="P45" s="7" t="s">
        <v>298</v>
      </c>
    </row>
    <row r="46" customFormat="false" ht="27.75" hidden="false" customHeight="true" outlineLevel="0" collapsed="false">
      <c r="A46" s="7" t="s">
        <v>140</v>
      </c>
      <c r="B46" s="7" t="s">
        <v>141</v>
      </c>
      <c r="C46" s="7" t="s">
        <v>21</v>
      </c>
      <c r="D46" s="19" t="s">
        <v>8</v>
      </c>
      <c r="E46" s="7" t="s">
        <v>208</v>
      </c>
      <c r="F46" s="7"/>
      <c r="G46" s="7"/>
      <c r="H46" s="7" t="s">
        <v>208</v>
      </c>
      <c r="I46" s="18" t="n">
        <v>46305</v>
      </c>
      <c r="J46" s="19" t="s">
        <v>198</v>
      </c>
      <c r="K46" s="7" t="s">
        <v>209</v>
      </c>
      <c r="L46" s="7"/>
      <c r="M46" s="19" t="s">
        <v>193</v>
      </c>
      <c r="N46" s="7" t="s">
        <v>214</v>
      </c>
      <c r="O46" s="21"/>
      <c r="P46" s="7" t="s">
        <v>299</v>
      </c>
    </row>
    <row r="47" customFormat="false" ht="27.75" hidden="false" customHeight="true" outlineLevel="0" collapsed="false">
      <c r="A47" s="7" t="s">
        <v>140</v>
      </c>
      <c r="B47" s="7" t="s">
        <v>141</v>
      </c>
      <c r="C47" s="7" t="s">
        <v>22</v>
      </c>
      <c r="D47" s="19" t="s">
        <v>8</v>
      </c>
      <c r="E47" s="7" t="s">
        <v>208</v>
      </c>
      <c r="F47" s="7"/>
      <c r="G47" s="7"/>
      <c r="H47" s="7" t="s">
        <v>208</v>
      </c>
      <c r="I47" s="18" t="n">
        <v>46305</v>
      </c>
      <c r="J47" s="19" t="s">
        <v>198</v>
      </c>
      <c r="K47" s="7" t="s">
        <v>209</v>
      </c>
      <c r="L47" s="7"/>
      <c r="M47" s="19" t="s">
        <v>193</v>
      </c>
      <c r="N47" s="7" t="s">
        <v>216</v>
      </c>
      <c r="O47" s="21"/>
      <c r="P47" s="7" t="s">
        <v>300</v>
      </c>
    </row>
    <row r="48" customFormat="false" ht="27.75" hidden="false" customHeight="true" outlineLevel="0" collapsed="false">
      <c r="A48" s="7" t="s">
        <v>140</v>
      </c>
      <c r="B48" s="7" t="s">
        <v>141</v>
      </c>
      <c r="C48" s="7" t="s">
        <v>23</v>
      </c>
      <c r="D48" s="19" t="s">
        <v>8</v>
      </c>
      <c r="E48" s="7" t="s">
        <v>208</v>
      </c>
      <c r="F48" s="7"/>
      <c r="G48" s="7"/>
      <c r="H48" s="7" t="s">
        <v>208</v>
      </c>
      <c r="I48" s="18" t="n">
        <v>46305</v>
      </c>
      <c r="J48" s="19" t="s">
        <v>198</v>
      </c>
      <c r="K48" s="7" t="s">
        <v>209</v>
      </c>
      <c r="L48" s="7"/>
      <c r="M48" s="19" t="s">
        <v>193</v>
      </c>
      <c r="N48" s="7" t="s">
        <v>218</v>
      </c>
      <c r="O48" s="21"/>
      <c r="P48" s="7" t="s">
        <v>301</v>
      </c>
    </row>
    <row r="49" customFormat="false" ht="40.5" hidden="false" customHeight="true" outlineLevel="0" collapsed="false">
      <c r="A49" s="7" t="s">
        <v>140</v>
      </c>
      <c r="B49" s="7" t="s">
        <v>141</v>
      </c>
      <c r="C49" s="7" t="s">
        <v>24</v>
      </c>
      <c r="D49" s="19" t="s">
        <v>8</v>
      </c>
      <c r="E49" s="7" t="s">
        <v>220</v>
      </c>
      <c r="F49" s="17" t="s">
        <v>196</v>
      </c>
      <c r="G49" s="7"/>
      <c r="H49" s="7" t="s">
        <v>221</v>
      </c>
      <c r="I49" s="18" t="n">
        <v>46305</v>
      </c>
      <c r="J49" s="19" t="s">
        <v>198</v>
      </c>
      <c r="K49" s="7" t="s">
        <v>222</v>
      </c>
      <c r="L49" s="7" t="s">
        <v>223</v>
      </c>
      <c r="M49" s="19" t="s">
        <v>193</v>
      </c>
      <c r="N49" s="7" t="s">
        <v>224</v>
      </c>
      <c r="O49" s="21"/>
      <c r="P49" s="7" t="s">
        <v>302</v>
      </c>
    </row>
    <row r="50" customFormat="false" ht="78" hidden="false" customHeight="true" outlineLevel="0" collapsed="false">
      <c r="A50" s="7" t="s">
        <v>144</v>
      </c>
      <c r="B50" s="7" t="s">
        <v>145</v>
      </c>
      <c r="C50" s="7" t="s">
        <v>16</v>
      </c>
      <c r="D50" s="19" t="s">
        <v>7</v>
      </c>
      <c r="E50" s="7" t="s">
        <v>187</v>
      </c>
      <c r="F50" s="17" t="s">
        <v>188</v>
      </c>
      <c r="G50" s="7" t="s">
        <v>303</v>
      </c>
      <c r="H50" s="7" t="s">
        <v>304</v>
      </c>
      <c r="I50" s="18" t="n">
        <v>46305</v>
      </c>
      <c r="J50" s="19" t="s">
        <v>190</v>
      </c>
      <c r="K50" s="7" t="s">
        <v>305</v>
      </c>
      <c r="L50" s="7" t="s">
        <v>306</v>
      </c>
      <c r="M50" s="19" t="s">
        <v>193</v>
      </c>
      <c r="N50" s="7" t="s">
        <v>194</v>
      </c>
      <c r="O50" s="21"/>
      <c r="P50" s="7" t="s">
        <v>307</v>
      </c>
    </row>
    <row r="51" customFormat="false" ht="140.25" hidden="false" customHeight="true" outlineLevel="0" collapsed="false">
      <c r="A51" s="7" t="s">
        <v>144</v>
      </c>
      <c r="B51" s="7" t="s">
        <v>145</v>
      </c>
      <c r="C51" s="7" t="s">
        <v>17</v>
      </c>
      <c r="D51" s="19" t="s">
        <v>7</v>
      </c>
      <c r="E51" s="7" t="s">
        <v>308</v>
      </c>
      <c r="F51" s="17" t="s">
        <v>309</v>
      </c>
      <c r="G51" s="7" t="s">
        <v>310</v>
      </c>
      <c r="H51" s="7" t="s">
        <v>311</v>
      </c>
      <c r="I51" s="18" t="n">
        <v>46305</v>
      </c>
      <c r="J51" s="19" t="s">
        <v>190</v>
      </c>
      <c r="K51" s="7" t="s">
        <v>312</v>
      </c>
      <c r="L51" s="7" t="s">
        <v>200</v>
      </c>
      <c r="M51" s="19" t="s">
        <v>193</v>
      </c>
      <c r="N51" s="7" t="s">
        <v>201</v>
      </c>
      <c r="O51" s="21"/>
      <c r="P51" s="7" t="s">
        <v>313</v>
      </c>
    </row>
    <row r="52" customFormat="false" ht="40.5" hidden="false" customHeight="true" outlineLevel="0" collapsed="false">
      <c r="A52" s="7" t="s">
        <v>144</v>
      </c>
      <c r="B52" s="7" t="s">
        <v>145</v>
      </c>
      <c r="C52" s="7" t="s">
        <v>18</v>
      </c>
      <c r="D52" s="19" t="s">
        <v>8</v>
      </c>
      <c r="E52" s="7" t="s">
        <v>314</v>
      </c>
      <c r="F52" s="17" t="s">
        <v>315</v>
      </c>
      <c r="G52" s="7" t="s">
        <v>188</v>
      </c>
      <c r="H52" s="7" t="s">
        <v>316</v>
      </c>
      <c r="I52" s="18" t="n">
        <v>46305</v>
      </c>
      <c r="J52" s="19" t="s">
        <v>198</v>
      </c>
      <c r="K52" s="7" t="s">
        <v>317</v>
      </c>
      <c r="L52" s="7" t="s">
        <v>318</v>
      </c>
      <c r="M52" s="19" t="s">
        <v>193</v>
      </c>
      <c r="N52" s="7" t="s">
        <v>206</v>
      </c>
      <c r="O52" s="21"/>
      <c r="P52" s="7" t="s">
        <v>319</v>
      </c>
    </row>
    <row r="53" customFormat="false" ht="40.5" hidden="false" customHeight="true" outlineLevel="0" collapsed="false">
      <c r="A53" s="7" t="s">
        <v>144</v>
      </c>
      <c r="B53" s="7" t="s">
        <v>145</v>
      </c>
      <c r="C53" s="7" t="s">
        <v>19</v>
      </c>
      <c r="D53" s="19" t="s">
        <v>8</v>
      </c>
      <c r="E53" s="7" t="s">
        <v>314</v>
      </c>
      <c r="F53" s="17" t="s">
        <v>315</v>
      </c>
      <c r="G53" s="7" t="s">
        <v>309</v>
      </c>
      <c r="H53" s="7" t="s">
        <v>320</v>
      </c>
      <c r="I53" s="18" t="n">
        <v>46305</v>
      </c>
      <c r="J53" s="19" t="s">
        <v>198</v>
      </c>
      <c r="K53" s="7" t="s">
        <v>321</v>
      </c>
      <c r="L53" s="7"/>
      <c r="M53" s="19" t="s">
        <v>193</v>
      </c>
      <c r="N53" s="7" t="s">
        <v>210</v>
      </c>
      <c r="O53" s="21"/>
      <c r="P53" s="7" t="s">
        <v>322</v>
      </c>
    </row>
    <row r="54" customFormat="false" ht="52.5" hidden="false" customHeight="true" outlineLevel="0" collapsed="false">
      <c r="A54" s="7" t="s">
        <v>144</v>
      </c>
      <c r="B54" s="7" t="s">
        <v>145</v>
      </c>
      <c r="C54" s="7" t="s">
        <v>20</v>
      </c>
      <c r="D54" s="19" t="s">
        <v>7</v>
      </c>
      <c r="E54" s="7" t="s">
        <v>314</v>
      </c>
      <c r="F54" s="17" t="s">
        <v>315</v>
      </c>
      <c r="G54" s="7" t="s">
        <v>309</v>
      </c>
      <c r="H54" s="7" t="s">
        <v>323</v>
      </c>
      <c r="I54" s="18" t="n">
        <v>46305</v>
      </c>
      <c r="J54" s="19" t="s">
        <v>198</v>
      </c>
      <c r="K54" s="7" t="s">
        <v>324</v>
      </c>
      <c r="L54" s="7" t="s">
        <v>325</v>
      </c>
      <c r="M54" s="19" t="s">
        <v>193</v>
      </c>
      <c r="N54" s="7" t="s">
        <v>212</v>
      </c>
      <c r="O54" s="21"/>
      <c r="P54" s="7" t="s">
        <v>326</v>
      </c>
    </row>
    <row r="55" customFormat="false" ht="27.75" hidden="false" customHeight="true" outlineLevel="0" collapsed="false">
      <c r="A55" s="7" t="s">
        <v>144</v>
      </c>
      <c r="B55" s="7" t="s">
        <v>145</v>
      </c>
      <c r="C55" s="7" t="s">
        <v>21</v>
      </c>
      <c r="D55" s="19" t="s">
        <v>8</v>
      </c>
      <c r="E55" s="7" t="s">
        <v>314</v>
      </c>
      <c r="F55" s="17" t="s">
        <v>315</v>
      </c>
      <c r="G55" s="7"/>
      <c r="H55" s="7" t="s">
        <v>327</v>
      </c>
      <c r="I55" s="18" t="n">
        <v>46305</v>
      </c>
      <c r="J55" s="19" t="s">
        <v>198</v>
      </c>
      <c r="K55" s="7" t="s">
        <v>328</v>
      </c>
      <c r="L55" s="7"/>
      <c r="M55" s="19" t="s">
        <v>193</v>
      </c>
      <c r="N55" s="7" t="s">
        <v>214</v>
      </c>
      <c r="O55" s="21"/>
      <c r="P55" s="7" t="s">
        <v>329</v>
      </c>
    </row>
    <row r="56" customFormat="false" ht="40.5" hidden="false" customHeight="true" outlineLevel="0" collapsed="false">
      <c r="A56" s="7" t="s">
        <v>144</v>
      </c>
      <c r="B56" s="7" t="s">
        <v>145</v>
      </c>
      <c r="C56" s="7" t="s">
        <v>22</v>
      </c>
      <c r="D56" s="19" t="s">
        <v>7</v>
      </c>
      <c r="E56" s="7" t="s">
        <v>314</v>
      </c>
      <c r="F56" s="17" t="s">
        <v>315</v>
      </c>
      <c r="G56" s="7" t="s">
        <v>309</v>
      </c>
      <c r="H56" s="7" t="s">
        <v>330</v>
      </c>
      <c r="I56" s="18" t="n">
        <v>46305</v>
      </c>
      <c r="J56" s="19" t="s">
        <v>190</v>
      </c>
      <c r="K56" s="7" t="s">
        <v>331</v>
      </c>
      <c r="L56" s="7" t="s">
        <v>332</v>
      </c>
      <c r="M56" s="19" t="s">
        <v>193</v>
      </c>
      <c r="N56" s="7" t="s">
        <v>216</v>
      </c>
      <c r="O56" s="21"/>
      <c r="P56" s="7" t="s">
        <v>333</v>
      </c>
    </row>
    <row r="57" customFormat="false" ht="27.75" hidden="false" customHeight="true" outlineLevel="0" collapsed="false">
      <c r="A57" s="7" t="s">
        <v>144</v>
      </c>
      <c r="B57" s="7" t="s">
        <v>145</v>
      </c>
      <c r="C57" s="7" t="s">
        <v>23</v>
      </c>
      <c r="D57" s="19" t="s">
        <v>8</v>
      </c>
      <c r="E57" s="7" t="s">
        <v>208</v>
      </c>
      <c r="F57" s="7"/>
      <c r="G57" s="7"/>
      <c r="H57" s="7" t="s">
        <v>208</v>
      </c>
      <c r="I57" s="18" t="n">
        <v>46305</v>
      </c>
      <c r="J57" s="19" t="s">
        <v>198</v>
      </c>
      <c r="K57" s="7" t="s">
        <v>209</v>
      </c>
      <c r="L57" s="7"/>
      <c r="M57" s="19" t="s">
        <v>193</v>
      </c>
      <c r="N57" s="7" t="s">
        <v>218</v>
      </c>
      <c r="O57" s="21"/>
      <c r="P57" s="7" t="s">
        <v>334</v>
      </c>
    </row>
    <row r="58" customFormat="false" ht="40.5" hidden="false" customHeight="true" outlineLevel="0" collapsed="false">
      <c r="A58" s="7" t="s">
        <v>144</v>
      </c>
      <c r="B58" s="7" t="s">
        <v>145</v>
      </c>
      <c r="C58" s="7" t="s">
        <v>24</v>
      </c>
      <c r="D58" s="19" t="s">
        <v>8</v>
      </c>
      <c r="E58" s="7" t="s">
        <v>220</v>
      </c>
      <c r="F58" s="17" t="s">
        <v>196</v>
      </c>
      <c r="G58" s="7"/>
      <c r="H58" s="7" t="s">
        <v>221</v>
      </c>
      <c r="I58" s="18" t="n">
        <v>46305</v>
      </c>
      <c r="J58" s="19" t="s">
        <v>198</v>
      </c>
      <c r="K58" s="7" t="s">
        <v>222</v>
      </c>
      <c r="L58" s="7" t="s">
        <v>223</v>
      </c>
      <c r="M58" s="19" t="s">
        <v>193</v>
      </c>
      <c r="N58" s="7" t="s">
        <v>224</v>
      </c>
      <c r="O58" s="21"/>
      <c r="P58" s="7" t="s">
        <v>335</v>
      </c>
    </row>
    <row r="59" customFormat="false" ht="65.25" hidden="false" customHeight="true" outlineLevel="0" collapsed="false">
      <c r="A59" s="7" t="s">
        <v>150</v>
      </c>
      <c r="B59" s="7" t="s">
        <v>151</v>
      </c>
      <c r="C59" s="7" t="s">
        <v>16</v>
      </c>
      <c r="D59" s="19" t="s">
        <v>7</v>
      </c>
      <c r="E59" s="7" t="s">
        <v>187</v>
      </c>
      <c r="F59" s="17" t="s">
        <v>188</v>
      </c>
      <c r="G59" s="7" t="s">
        <v>336</v>
      </c>
      <c r="H59" s="7" t="s">
        <v>337</v>
      </c>
      <c r="I59" s="18" t="n">
        <v>46305</v>
      </c>
      <c r="J59" s="19" t="s">
        <v>190</v>
      </c>
      <c r="K59" s="7" t="s">
        <v>338</v>
      </c>
      <c r="L59" s="7" t="s">
        <v>339</v>
      </c>
      <c r="M59" s="19" t="s">
        <v>193</v>
      </c>
      <c r="N59" s="7" t="s">
        <v>194</v>
      </c>
      <c r="O59" s="21"/>
      <c r="P59" s="7" t="s">
        <v>340</v>
      </c>
    </row>
    <row r="60" customFormat="false" ht="78" hidden="false" customHeight="true" outlineLevel="0" collapsed="false">
      <c r="A60" s="7" t="s">
        <v>150</v>
      </c>
      <c r="B60" s="7" t="s">
        <v>151</v>
      </c>
      <c r="C60" s="7" t="s">
        <v>17</v>
      </c>
      <c r="D60" s="19" t="s">
        <v>8</v>
      </c>
      <c r="E60" s="7" t="s">
        <v>187</v>
      </c>
      <c r="F60" s="17" t="s">
        <v>188</v>
      </c>
      <c r="G60" s="7" t="s">
        <v>196</v>
      </c>
      <c r="H60" s="7" t="s">
        <v>341</v>
      </c>
      <c r="I60" s="18" t="n">
        <v>46305</v>
      </c>
      <c r="J60" s="19" t="s">
        <v>198</v>
      </c>
      <c r="K60" s="7" t="s">
        <v>283</v>
      </c>
      <c r="L60" s="7" t="s">
        <v>200</v>
      </c>
      <c r="M60" s="19" t="s">
        <v>193</v>
      </c>
      <c r="N60" s="7" t="s">
        <v>201</v>
      </c>
      <c r="O60" s="21"/>
      <c r="P60" s="7" t="s">
        <v>342</v>
      </c>
    </row>
    <row r="61" customFormat="false" ht="40.5" hidden="false" customHeight="true" outlineLevel="0" collapsed="false">
      <c r="A61" s="7" t="s">
        <v>150</v>
      </c>
      <c r="B61" s="7" t="s">
        <v>151</v>
      </c>
      <c r="C61" s="7" t="s">
        <v>18</v>
      </c>
      <c r="D61" s="19" t="s">
        <v>8</v>
      </c>
      <c r="E61" s="7" t="s">
        <v>208</v>
      </c>
      <c r="F61" s="7"/>
      <c r="G61" s="7"/>
      <c r="H61" s="7" t="s">
        <v>234</v>
      </c>
      <c r="I61" s="18" t="n">
        <v>46305</v>
      </c>
      <c r="J61" s="19" t="s">
        <v>198</v>
      </c>
      <c r="K61" s="7" t="s">
        <v>209</v>
      </c>
      <c r="L61" s="7"/>
      <c r="M61" s="19" t="s">
        <v>193</v>
      </c>
      <c r="N61" s="7" t="s">
        <v>206</v>
      </c>
      <c r="O61" s="21"/>
      <c r="P61" s="7" t="s">
        <v>343</v>
      </c>
    </row>
    <row r="62" customFormat="false" ht="27.75" hidden="false" customHeight="true" outlineLevel="0" collapsed="false">
      <c r="A62" s="7" t="s">
        <v>150</v>
      </c>
      <c r="B62" s="7" t="s">
        <v>151</v>
      </c>
      <c r="C62" s="7" t="s">
        <v>19</v>
      </c>
      <c r="D62" s="19" t="s">
        <v>8</v>
      </c>
      <c r="E62" s="7" t="s">
        <v>208</v>
      </c>
      <c r="F62" s="7"/>
      <c r="G62" s="7"/>
      <c r="H62" s="7" t="s">
        <v>208</v>
      </c>
      <c r="I62" s="18" t="n">
        <v>46305</v>
      </c>
      <c r="J62" s="19" t="s">
        <v>198</v>
      </c>
      <c r="K62" s="7" t="s">
        <v>209</v>
      </c>
      <c r="L62" s="7"/>
      <c r="M62" s="19" t="s">
        <v>193</v>
      </c>
      <c r="N62" s="7" t="s">
        <v>210</v>
      </c>
      <c r="O62" s="21"/>
      <c r="P62" s="7" t="s">
        <v>344</v>
      </c>
    </row>
    <row r="63" customFormat="false" ht="40.5" hidden="false" customHeight="true" outlineLevel="0" collapsed="false">
      <c r="A63" s="7" t="s">
        <v>150</v>
      </c>
      <c r="B63" s="7" t="s">
        <v>151</v>
      </c>
      <c r="C63" s="7" t="s">
        <v>20</v>
      </c>
      <c r="D63" s="19" t="s">
        <v>8</v>
      </c>
      <c r="E63" s="7" t="s">
        <v>208</v>
      </c>
      <c r="F63" s="7"/>
      <c r="G63" s="7"/>
      <c r="H63" s="7" t="s">
        <v>208</v>
      </c>
      <c r="I63" s="18" t="n">
        <v>46305</v>
      </c>
      <c r="J63" s="19" t="s">
        <v>198</v>
      </c>
      <c r="K63" s="7" t="s">
        <v>209</v>
      </c>
      <c r="L63" s="7"/>
      <c r="M63" s="19" t="s">
        <v>193</v>
      </c>
      <c r="N63" s="7" t="s">
        <v>212</v>
      </c>
      <c r="O63" s="21"/>
      <c r="P63" s="7" t="s">
        <v>345</v>
      </c>
    </row>
    <row r="64" customFormat="false" ht="27.75" hidden="false" customHeight="true" outlineLevel="0" collapsed="false">
      <c r="A64" s="7" t="s">
        <v>150</v>
      </c>
      <c r="B64" s="7" t="s">
        <v>151</v>
      </c>
      <c r="C64" s="7" t="s">
        <v>21</v>
      </c>
      <c r="D64" s="19" t="s">
        <v>8</v>
      </c>
      <c r="E64" s="7" t="s">
        <v>208</v>
      </c>
      <c r="F64" s="7"/>
      <c r="G64" s="7"/>
      <c r="H64" s="7" t="s">
        <v>208</v>
      </c>
      <c r="I64" s="18" t="n">
        <v>46305</v>
      </c>
      <c r="J64" s="19" t="s">
        <v>198</v>
      </c>
      <c r="K64" s="7" t="s">
        <v>209</v>
      </c>
      <c r="L64" s="7"/>
      <c r="M64" s="19" t="s">
        <v>193</v>
      </c>
      <c r="N64" s="7" t="s">
        <v>214</v>
      </c>
      <c r="O64" s="21"/>
      <c r="P64" s="7" t="s">
        <v>346</v>
      </c>
    </row>
    <row r="65" customFormat="false" ht="27.75" hidden="false" customHeight="true" outlineLevel="0" collapsed="false">
      <c r="A65" s="7" t="s">
        <v>150</v>
      </c>
      <c r="B65" s="7" t="s">
        <v>151</v>
      </c>
      <c r="C65" s="7" t="s">
        <v>22</v>
      </c>
      <c r="D65" s="19" t="s">
        <v>8</v>
      </c>
      <c r="E65" s="7" t="s">
        <v>208</v>
      </c>
      <c r="F65" s="7"/>
      <c r="G65" s="7"/>
      <c r="H65" s="7" t="s">
        <v>208</v>
      </c>
      <c r="I65" s="18" t="n">
        <v>46305</v>
      </c>
      <c r="J65" s="19" t="s">
        <v>198</v>
      </c>
      <c r="K65" s="7" t="s">
        <v>209</v>
      </c>
      <c r="L65" s="7"/>
      <c r="M65" s="19" t="s">
        <v>193</v>
      </c>
      <c r="N65" s="7" t="s">
        <v>216</v>
      </c>
      <c r="O65" s="21"/>
      <c r="P65" s="7" t="s">
        <v>347</v>
      </c>
    </row>
    <row r="66" customFormat="false" ht="27.75" hidden="false" customHeight="true" outlineLevel="0" collapsed="false">
      <c r="A66" s="7" t="s">
        <v>150</v>
      </c>
      <c r="B66" s="7" t="s">
        <v>151</v>
      </c>
      <c r="C66" s="7" t="s">
        <v>23</v>
      </c>
      <c r="D66" s="19" t="s">
        <v>8</v>
      </c>
      <c r="E66" s="7" t="s">
        <v>208</v>
      </c>
      <c r="F66" s="7"/>
      <c r="G66" s="7"/>
      <c r="H66" s="7" t="s">
        <v>208</v>
      </c>
      <c r="I66" s="18" t="n">
        <v>46305</v>
      </c>
      <c r="J66" s="19" t="s">
        <v>198</v>
      </c>
      <c r="K66" s="7" t="s">
        <v>209</v>
      </c>
      <c r="L66" s="7"/>
      <c r="M66" s="19" t="s">
        <v>193</v>
      </c>
      <c r="N66" s="7" t="s">
        <v>218</v>
      </c>
      <c r="O66" s="21"/>
      <c r="P66" s="7" t="s">
        <v>348</v>
      </c>
    </row>
    <row r="67" customFormat="false" ht="40.5" hidden="false" customHeight="true" outlineLevel="0" collapsed="false">
      <c r="A67" s="7" t="s">
        <v>150</v>
      </c>
      <c r="B67" s="7" t="s">
        <v>151</v>
      </c>
      <c r="C67" s="7" t="s">
        <v>24</v>
      </c>
      <c r="D67" s="19" t="s">
        <v>8</v>
      </c>
      <c r="E67" s="7" t="s">
        <v>220</v>
      </c>
      <c r="F67" s="17" t="s">
        <v>196</v>
      </c>
      <c r="G67" s="7"/>
      <c r="H67" s="7" t="s">
        <v>221</v>
      </c>
      <c r="I67" s="18" t="n">
        <v>46305</v>
      </c>
      <c r="J67" s="19" t="s">
        <v>198</v>
      </c>
      <c r="K67" s="7" t="s">
        <v>222</v>
      </c>
      <c r="L67" s="7" t="s">
        <v>223</v>
      </c>
      <c r="M67" s="19" t="s">
        <v>193</v>
      </c>
      <c r="N67" s="7" t="s">
        <v>224</v>
      </c>
      <c r="O67" s="21"/>
      <c r="P67" s="7" t="s">
        <v>349</v>
      </c>
    </row>
    <row r="68" customFormat="false" ht="115.5" hidden="false" customHeight="true" outlineLevel="0" collapsed="false">
      <c r="A68" s="7" t="s">
        <v>155</v>
      </c>
      <c r="B68" s="7" t="s">
        <v>156</v>
      </c>
      <c r="C68" s="7" t="s">
        <v>16</v>
      </c>
      <c r="D68" s="19" t="s">
        <v>7</v>
      </c>
      <c r="E68" s="7" t="s">
        <v>187</v>
      </c>
      <c r="F68" s="17" t="s">
        <v>188</v>
      </c>
      <c r="G68" s="7" t="s">
        <v>350</v>
      </c>
      <c r="H68" s="7" t="s">
        <v>351</v>
      </c>
      <c r="I68" s="18" t="n">
        <v>46305</v>
      </c>
      <c r="J68" s="19" t="s">
        <v>190</v>
      </c>
      <c r="K68" s="7" t="s">
        <v>352</v>
      </c>
      <c r="L68" s="7" t="s">
        <v>353</v>
      </c>
      <c r="M68" s="19" t="s">
        <v>193</v>
      </c>
      <c r="N68" s="7" t="s">
        <v>194</v>
      </c>
      <c r="O68" s="21"/>
      <c r="P68" s="7" t="s">
        <v>354</v>
      </c>
    </row>
    <row r="69" customFormat="false" ht="140.25" hidden="false" customHeight="true" outlineLevel="0" collapsed="false">
      <c r="A69" s="7" t="s">
        <v>155</v>
      </c>
      <c r="B69" s="7" t="s">
        <v>156</v>
      </c>
      <c r="C69" s="7" t="s">
        <v>17</v>
      </c>
      <c r="D69" s="19" t="s">
        <v>7</v>
      </c>
      <c r="E69" s="7" t="s">
        <v>355</v>
      </c>
      <c r="F69" s="17" t="s">
        <v>356</v>
      </c>
      <c r="G69" s="7" t="s">
        <v>310</v>
      </c>
      <c r="H69" s="7" t="s">
        <v>357</v>
      </c>
      <c r="I69" s="18" t="n">
        <v>46305</v>
      </c>
      <c r="J69" s="19" t="s">
        <v>190</v>
      </c>
      <c r="K69" s="7" t="s">
        <v>358</v>
      </c>
      <c r="L69" s="7" t="s">
        <v>200</v>
      </c>
      <c r="M69" s="19" t="s">
        <v>193</v>
      </c>
      <c r="N69" s="7" t="s">
        <v>201</v>
      </c>
      <c r="O69" s="21"/>
      <c r="P69" s="7" t="s">
        <v>359</v>
      </c>
    </row>
    <row r="70" customFormat="false" ht="78" hidden="false" customHeight="true" outlineLevel="0" collapsed="false">
      <c r="A70" s="7" t="s">
        <v>155</v>
      </c>
      <c r="B70" s="7" t="s">
        <v>156</v>
      </c>
      <c r="C70" s="7" t="s">
        <v>18</v>
      </c>
      <c r="D70" s="19" t="s">
        <v>7</v>
      </c>
      <c r="E70" s="7" t="s">
        <v>360</v>
      </c>
      <c r="F70" s="17" t="s">
        <v>303</v>
      </c>
      <c r="G70" s="7" t="s">
        <v>356</v>
      </c>
      <c r="H70" s="7" t="s">
        <v>361</v>
      </c>
      <c r="I70" s="18" t="n">
        <v>46305</v>
      </c>
      <c r="J70" s="19" t="s">
        <v>198</v>
      </c>
      <c r="K70" s="7" t="s">
        <v>362</v>
      </c>
      <c r="L70" s="7" t="s">
        <v>363</v>
      </c>
      <c r="M70" s="19" t="s">
        <v>193</v>
      </c>
      <c r="N70" s="7" t="s">
        <v>206</v>
      </c>
      <c r="O70" s="21"/>
      <c r="P70" s="7" t="s">
        <v>364</v>
      </c>
    </row>
    <row r="71" customFormat="false" ht="40.5" hidden="false" customHeight="true" outlineLevel="0" collapsed="false">
      <c r="A71" s="7" t="s">
        <v>155</v>
      </c>
      <c r="B71" s="7" t="s">
        <v>156</v>
      </c>
      <c r="C71" s="7" t="s">
        <v>19</v>
      </c>
      <c r="D71" s="19" t="s">
        <v>8</v>
      </c>
      <c r="E71" s="7" t="s">
        <v>355</v>
      </c>
      <c r="F71" s="17" t="s">
        <v>356</v>
      </c>
      <c r="G71" s="7"/>
      <c r="H71" s="7" t="s">
        <v>365</v>
      </c>
      <c r="I71" s="18" t="n">
        <v>46305</v>
      </c>
      <c r="J71" s="19" t="s">
        <v>198</v>
      </c>
      <c r="K71" s="7" t="s">
        <v>260</v>
      </c>
      <c r="L71" s="7"/>
      <c r="M71" s="19" t="s">
        <v>193</v>
      </c>
      <c r="N71" s="7" t="s">
        <v>210</v>
      </c>
      <c r="O71" s="21"/>
      <c r="P71" s="7" t="s">
        <v>366</v>
      </c>
    </row>
    <row r="72" customFormat="false" ht="40.5" hidden="false" customHeight="true" outlineLevel="0" collapsed="false">
      <c r="A72" s="7" t="s">
        <v>155</v>
      </c>
      <c r="B72" s="7" t="s">
        <v>156</v>
      </c>
      <c r="C72" s="7" t="s">
        <v>20</v>
      </c>
      <c r="D72" s="19" t="s">
        <v>8</v>
      </c>
      <c r="E72" s="7" t="s">
        <v>355</v>
      </c>
      <c r="F72" s="17" t="s">
        <v>356</v>
      </c>
      <c r="G72" s="7"/>
      <c r="H72" s="7" t="s">
        <v>367</v>
      </c>
      <c r="I72" s="18" t="n">
        <v>46305</v>
      </c>
      <c r="J72" s="19" t="s">
        <v>198</v>
      </c>
      <c r="K72" s="7" t="s">
        <v>368</v>
      </c>
      <c r="L72" s="7"/>
      <c r="M72" s="19" t="s">
        <v>193</v>
      </c>
      <c r="N72" s="7" t="s">
        <v>212</v>
      </c>
      <c r="O72" s="21"/>
      <c r="P72" s="7" t="s">
        <v>369</v>
      </c>
    </row>
    <row r="73" customFormat="false" ht="27.75" hidden="false" customHeight="true" outlineLevel="0" collapsed="false">
      <c r="A73" s="7" t="s">
        <v>155</v>
      </c>
      <c r="B73" s="7" t="s">
        <v>156</v>
      </c>
      <c r="C73" s="7" t="s">
        <v>21</v>
      </c>
      <c r="D73" s="19" t="s">
        <v>8</v>
      </c>
      <c r="E73" s="7" t="s">
        <v>208</v>
      </c>
      <c r="F73" s="7"/>
      <c r="G73" s="7"/>
      <c r="H73" s="7" t="s">
        <v>208</v>
      </c>
      <c r="I73" s="18" t="n">
        <v>46305</v>
      </c>
      <c r="J73" s="19" t="s">
        <v>198</v>
      </c>
      <c r="K73" s="7" t="s">
        <v>209</v>
      </c>
      <c r="L73" s="7"/>
      <c r="M73" s="19" t="s">
        <v>193</v>
      </c>
      <c r="N73" s="7" t="s">
        <v>214</v>
      </c>
      <c r="O73" s="21"/>
      <c r="P73" s="7" t="s">
        <v>370</v>
      </c>
    </row>
    <row r="74" customFormat="false" ht="40.5" hidden="false" customHeight="true" outlineLevel="0" collapsed="false">
      <c r="A74" s="7" t="s">
        <v>155</v>
      </c>
      <c r="B74" s="7" t="s">
        <v>156</v>
      </c>
      <c r="C74" s="7" t="s">
        <v>22</v>
      </c>
      <c r="D74" s="19" t="s">
        <v>7</v>
      </c>
      <c r="E74" s="7" t="s">
        <v>355</v>
      </c>
      <c r="F74" s="17" t="s">
        <v>356</v>
      </c>
      <c r="G74" s="7" t="s">
        <v>371</v>
      </c>
      <c r="H74" s="7" t="s">
        <v>372</v>
      </c>
      <c r="I74" s="18" t="n">
        <v>46305</v>
      </c>
      <c r="J74" s="19" t="s">
        <v>198</v>
      </c>
      <c r="K74" s="7" t="s">
        <v>373</v>
      </c>
      <c r="L74" s="7" t="s">
        <v>374</v>
      </c>
      <c r="M74" s="19" t="s">
        <v>193</v>
      </c>
      <c r="N74" s="7" t="s">
        <v>216</v>
      </c>
      <c r="O74" s="21"/>
      <c r="P74" s="7" t="s">
        <v>375</v>
      </c>
    </row>
    <row r="75" customFormat="false" ht="27.75" hidden="false" customHeight="true" outlineLevel="0" collapsed="false">
      <c r="A75" s="7" t="s">
        <v>155</v>
      </c>
      <c r="B75" s="7" t="s">
        <v>156</v>
      </c>
      <c r="C75" s="7" t="s">
        <v>23</v>
      </c>
      <c r="D75" s="19" t="s">
        <v>8</v>
      </c>
      <c r="E75" s="7" t="s">
        <v>208</v>
      </c>
      <c r="F75" s="7"/>
      <c r="G75" s="7"/>
      <c r="H75" s="7" t="s">
        <v>208</v>
      </c>
      <c r="I75" s="18" t="n">
        <v>46305</v>
      </c>
      <c r="J75" s="19" t="s">
        <v>198</v>
      </c>
      <c r="K75" s="7" t="s">
        <v>209</v>
      </c>
      <c r="L75" s="7"/>
      <c r="M75" s="19" t="s">
        <v>193</v>
      </c>
      <c r="N75" s="7" t="s">
        <v>218</v>
      </c>
      <c r="O75" s="21"/>
      <c r="P75" s="7" t="s">
        <v>376</v>
      </c>
    </row>
    <row r="76" customFormat="false" ht="40.5" hidden="false" customHeight="true" outlineLevel="0" collapsed="false">
      <c r="A76" s="7" t="s">
        <v>155</v>
      </c>
      <c r="B76" s="7" t="s">
        <v>156</v>
      </c>
      <c r="C76" s="7" t="s">
        <v>24</v>
      </c>
      <c r="D76" s="19" t="s">
        <v>8</v>
      </c>
      <c r="E76" s="7" t="s">
        <v>220</v>
      </c>
      <c r="F76" s="17" t="s">
        <v>196</v>
      </c>
      <c r="G76" s="7"/>
      <c r="H76" s="7" t="s">
        <v>221</v>
      </c>
      <c r="I76" s="18" t="n">
        <v>46305</v>
      </c>
      <c r="J76" s="19" t="s">
        <v>198</v>
      </c>
      <c r="K76" s="7" t="s">
        <v>222</v>
      </c>
      <c r="L76" s="7" t="s">
        <v>223</v>
      </c>
      <c r="M76" s="19" t="s">
        <v>193</v>
      </c>
      <c r="N76" s="7" t="s">
        <v>224</v>
      </c>
      <c r="O76" s="21"/>
      <c r="P76" s="7" t="s">
        <v>377</v>
      </c>
    </row>
    <row r="77" customFormat="false" ht="52.5" hidden="false" customHeight="true" outlineLevel="0" collapsed="false">
      <c r="A77" s="7" t="s">
        <v>160</v>
      </c>
      <c r="B77" s="7" t="s">
        <v>161</v>
      </c>
      <c r="C77" s="7" t="s">
        <v>16</v>
      </c>
      <c r="D77" s="19" t="s">
        <v>7</v>
      </c>
      <c r="E77" s="7" t="s">
        <v>187</v>
      </c>
      <c r="F77" s="17" t="s">
        <v>188</v>
      </c>
      <c r="G77" s="7"/>
      <c r="H77" s="7" t="s">
        <v>378</v>
      </c>
      <c r="I77" s="18" t="n">
        <v>46305</v>
      </c>
      <c r="J77" s="19" t="s">
        <v>190</v>
      </c>
      <c r="K77" s="7" t="s">
        <v>293</v>
      </c>
      <c r="L77" s="7" t="s">
        <v>281</v>
      </c>
      <c r="M77" s="19" t="s">
        <v>193</v>
      </c>
      <c r="N77" s="7" t="s">
        <v>194</v>
      </c>
      <c r="O77" s="21"/>
      <c r="P77" s="7" t="s">
        <v>379</v>
      </c>
    </row>
    <row r="78" customFormat="false" ht="78" hidden="false" customHeight="true" outlineLevel="0" collapsed="false">
      <c r="A78" s="7" t="s">
        <v>160</v>
      </c>
      <c r="B78" s="7" t="s">
        <v>161</v>
      </c>
      <c r="C78" s="7" t="s">
        <v>17</v>
      </c>
      <c r="D78" s="19" t="s">
        <v>8</v>
      </c>
      <c r="E78" s="7" t="s">
        <v>187</v>
      </c>
      <c r="F78" s="17" t="s">
        <v>188</v>
      </c>
      <c r="G78" s="7" t="s">
        <v>196</v>
      </c>
      <c r="H78" s="7" t="s">
        <v>341</v>
      </c>
      <c r="I78" s="18" t="n">
        <v>46305</v>
      </c>
      <c r="J78" s="19" t="s">
        <v>198</v>
      </c>
      <c r="K78" s="7" t="s">
        <v>283</v>
      </c>
      <c r="L78" s="7" t="s">
        <v>200</v>
      </c>
      <c r="M78" s="19" t="s">
        <v>193</v>
      </c>
      <c r="N78" s="7" t="s">
        <v>201</v>
      </c>
      <c r="O78" s="21"/>
      <c r="P78" s="7" t="s">
        <v>380</v>
      </c>
    </row>
    <row r="79" customFormat="false" ht="40.5" hidden="false" customHeight="true" outlineLevel="0" collapsed="false">
      <c r="A79" s="7" t="s">
        <v>160</v>
      </c>
      <c r="B79" s="7" t="s">
        <v>161</v>
      </c>
      <c r="C79" s="7" t="s">
        <v>18</v>
      </c>
      <c r="D79" s="19" t="s">
        <v>8</v>
      </c>
      <c r="E79" s="7" t="s">
        <v>208</v>
      </c>
      <c r="F79" s="7"/>
      <c r="G79" s="7"/>
      <c r="H79" s="7" t="s">
        <v>234</v>
      </c>
      <c r="I79" s="18" t="n">
        <v>46305</v>
      </c>
      <c r="J79" s="19" t="s">
        <v>198</v>
      </c>
      <c r="K79" s="7" t="s">
        <v>209</v>
      </c>
      <c r="L79" s="7"/>
      <c r="M79" s="19" t="s">
        <v>193</v>
      </c>
      <c r="N79" s="7" t="s">
        <v>206</v>
      </c>
      <c r="O79" s="21"/>
      <c r="P79" s="7" t="s">
        <v>381</v>
      </c>
    </row>
    <row r="80" customFormat="false" ht="27.75" hidden="false" customHeight="true" outlineLevel="0" collapsed="false">
      <c r="A80" s="7" t="s">
        <v>160</v>
      </c>
      <c r="B80" s="7" t="s">
        <v>161</v>
      </c>
      <c r="C80" s="7" t="s">
        <v>19</v>
      </c>
      <c r="D80" s="19" t="s">
        <v>8</v>
      </c>
      <c r="E80" s="7" t="s">
        <v>208</v>
      </c>
      <c r="F80" s="7"/>
      <c r="G80" s="7"/>
      <c r="H80" s="7" t="s">
        <v>208</v>
      </c>
      <c r="I80" s="18" t="n">
        <v>46305</v>
      </c>
      <c r="J80" s="19" t="s">
        <v>198</v>
      </c>
      <c r="K80" s="7" t="s">
        <v>209</v>
      </c>
      <c r="L80" s="7"/>
      <c r="M80" s="19" t="s">
        <v>193</v>
      </c>
      <c r="N80" s="7" t="s">
        <v>210</v>
      </c>
      <c r="O80" s="21"/>
      <c r="P80" s="7" t="s">
        <v>382</v>
      </c>
    </row>
    <row r="81" customFormat="false" ht="40.5" hidden="false" customHeight="true" outlineLevel="0" collapsed="false">
      <c r="A81" s="7" t="s">
        <v>160</v>
      </c>
      <c r="B81" s="7" t="s">
        <v>161</v>
      </c>
      <c r="C81" s="7" t="s">
        <v>20</v>
      </c>
      <c r="D81" s="19" t="s">
        <v>8</v>
      </c>
      <c r="E81" s="7" t="s">
        <v>208</v>
      </c>
      <c r="F81" s="7"/>
      <c r="G81" s="7"/>
      <c r="H81" s="7" t="s">
        <v>208</v>
      </c>
      <c r="I81" s="18" t="n">
        <v>46305</v>
      </c>
      <c r="J81" s="19" t="s">
        <v>198</v>
      </c>
      <c r="K81" s="7" t="s">
        <v>209</v>
      </c>
      <c r="L81" s="7"/>
      <c r="M81" s="19" t="s">
        <v>193</v>
      </c>
      <c r="N81" s="7" t="s">
        <v>212</v>
      </c>
      <c r="O81" s="21"/>
      <c r="P81" s="7" t="s">
        <v>383</v>
      </c>
    </row>
    <row r="82" customFormat="false" ht="27.75" hidden="false" customHeight="true" outlineLevel="0" collapsed="false">
      <c r="A82" s="7" t="s">
        <v>160</v>
      </c>
      <c r="B82" s="7" t="s">
        <v>161</v>
      </c>
      <c r="C82" s="7" t="s">
        <v>21</v>
      </c>
      <c r="D82" s="19" t="s">
        <v>8</v>
      </c>
      <c r="E82" s="7" t="s">
        <v>208</v>
      </c>
      <c r="F82" s="7"/>
      <c r="G82" s="7"/>
      <c r="H82" s="7" t="s">
        <v>208</v>
      </c>
      <c r="I82" s="18" t="n">
        <v>46305</v>
      </c>
      <c r="J82" s="19" t="s">
        <v>198</v>
      </c>
      <c r="K82" s="7" t="s">
        <v>209</v>
      </c>
      <c r="L82" s="7"/>
      <c r="M82" s="19" t="s">
        <v>193</v>
      </c>
      <c r="N82" s="7" t="s">
        <v>214</v>
      </c>
      <c r="O82" s="21"/>
      <c r="P82" s="7" t="s">
        <v>384</v>
      </c>
    </row>
    <row r="83" customFormat="false" ht="27.75" hidden="false" customHeight="true" outlineLevel="0" collapsed="false">
      <c r="A83" s="7" t="s">
        <v>160</v>
      </c>
      <c r="B83" s="7" t="s">
        <v>161</v>
      </c>
      <c r="C83" s="7" t="s">
        <v>22</v>
      </c>
      <c r="D83" s="19" t="s">
        <v>8</v>
      </c>
      <c r="E83" s="7" t="s">
        <v>208</v>
      </c>
      <c r="F83" s="7"/>
      <c r="G83" s="7"/>
      <c r="H83" s="7" t="s">
        <v>208</v>
      </c>
      <c r="I83" s="18" t="n">
        <v>46305</v>
      </c>
      <c r="J83" s="19" t="s">
        <v>198</v>
      </c>
      <c r="K83" s="7" t="s">
        <v>209</v>
      </c>
      <c r="L83" s="7"/>
      <c r="M83" s="19" t="s">
        <v>193</v>
      </c>
      <c r="N83" s="7" t="s">
        <v>216</v>
      </c>
      <c r="O83" s="21"/>
      <c r="P83" s="7" t="s">
        <v>385</v>
      </c>
    </row>
    <row r="84" customFormat="false" ht="27.75" hidden="false" customHeight="true" outlineLevel="0" collapsed="false">
      <c r="A84" s="7" t="s">
        <v>160</v>
      </c>
      <c r="B84" s="7" t="s">
        <v>161</v>
      </c>
      <c r="C84" s="7" t="s">
        <v>23</v>
      </c>
      <c r="D84" s="19" t="s">
        <v>8</v>
      </c>
      <c r="E84" s="7" t="s">
        <v>208</v>
      </c>
      <c r="F84" s="7"/>
      <c r="G84" s="7"/>
      <c r="H84" s="7" t="s">
        <v>208</v>
      </c>
      <c r="I84" s="18" t="n">
        <v>46305</v>
      </c>
      <c r="J84" s="19" t="s">
        <v>198</v>
      </c>
      <c r="K84" s="7" t="s">
        <v>209</v>
      </c>
      <c r="L84" s="7"/>
      <c r="M84" s="19" t="s">
        <v>193</v>
      </c>
      <c r="N84" s="7" t="s">
        <v>218</v>
      </c>
      <c r="O84" s="21"/>
      <c r="P84" s="7" t="s">
        <v>386</v>
      </c>
    </row>
    <row r="85" customFormat="false" ht="40.5" hidden="false" customHeight="true" outlineLevel="0" collapsed="false">
      <c r="A85" s="7" t="s">
        <v>160</v>
      </c>
      <c r="B85" s="7" t="s">
        <v>161</v>
      </c>
      <c r="C85" s="7" t="s">
        <v>24</v>
      </c>
      <c r="D85" s="19" t="s">
        <v>8</v>
      </c>
      <c r="E85" s="7" t="s">
        <v>220</v>
      </c>
      <c r="F85" s="17" t="s">
        <v>196</v>
      </c>
      <c r="G85" s="7"/>
      <c r="H85" s="7" t="s">
        <v>221</v>
      </c>
      <c r="I85" s="18" t="n">
        <v>46305</v>
      </c>
      <c r="J85" s="19" t="s">
        <v>198</v>
      </c>
      <c r="K85" s="7" t="s">
        <v>222</v>
      </c>
      <c r="L85" s="7" t="s">
        <v>223</v>
      </c>
      <c r="M85" s="19" t="s">
        <v>193</v>
      </c>
      <c r="N85" s="7" t="s">
        <v>224</v>
      </c>
      <c r="O85" s="21"/>
      <c r="P85" s="7" t="s">
        <v>387</v>
      </c>
    </row>
    <row r="86" customFormat="false" ht="52.5" hidden="false" customHeight="true" outlineLevel="0" collapsed="false">
      <c r="A86" s="7" t="s">
        <v>165</v>
      </c>
      <c r="B86" s="7" t="s">
        <v>166</v>
      </c>
      <c r="C86" s="7" t="s">
        <v>16</v>
      </c>
      <c r="D86" s="19" t="s">
        <v>7</v>
      </c>
      <c r="E86" s="7" t="s">
        <v>187</v>
      </c>
      <c r="F86" s="17" t="s">
        <v>188</v>
      </c>
      <c r="G86" s="7"/>
      <c r="H86" s="7" t="s">
        <v>388</v>
      </c>
      <c r="I86" s="18" t="n">
        <v>46305</v>
      </c>
      <c r="J86" s="19" t="s">
        <v>190</v>
      </c>
      <c r="K86" s="7" t="s">
        <v>293</v>
      </c>
      <c r="L86" s="7" t="s">
        <v>281</v>
      </c>
      <c r="M86" s="19" t="s">
        <v>193</v>
      </c>
      <c r="N86" s="7" t="s">
        <v>194</v>
      </c>
      <c r="O86" s="21"/>
      <c r="P86" s="7" t="s">
        <v>389</v>
      </c>
    </row>
    <row r="87" customFormat="false" ht="78" hidden="false" customHeight="true" outlineLevel="0" collapsed="false">
      <c r="A87" s="7" t="s">
        <v>165</v>
      </c>
      <c r="B87" s="7" t="s">
        <v>166</v>
      </c>
      <c r="C87" s="7" t="s">
        <v>17</v>
      </c>
      <c r="D87" s="19" t="s">
        <v>8</v>
      </c>
      <c r="E87" s="7" t="s">
        <v>187</v>
      </c>
      <c r="F87" s="17" t="s">
        <v>188</v>
      </c>
      <c r="G87" s="7" t="s">
        <v>196</v>
      </c>
      <c r="H87" s="7" t="s">
        <v>341</v>
      </c>
      <c r="I87" s="18" t="n">
        <v>46305</v>
      </c>
      <c r="J87" s="19" t="s">
        <v>198</v>
      </c>
      <c r="K87" s="7" t="s">
        <v>283</v>
      </c>
      <c r="L87" s="7" t="s">
        <v>200</v>
      </c>
      <c r="M87" s="19" t="s">
        <v>193</v>
      </c>
      <c r="N87" s="7" t="s">
        <v>201</v>
      </c>
      <c r="O87" s="21"/>
      <c r="P87" s="7" t="s">
        <v>390</v>
      </c>
    </row>
    <row r="88" customFormat="false" ht="40.5" hidden="false" customHeight="true" outlineLevel="0" collapsed="false">
      <c r="A88" s="7" t="s">
        <v>165</v>
      </c>
      <c r="B88" s="7" t="s">
        <v>166</v>
      </c>
      <c r="C88" s="7" t="s">
        <v>18</v>
      </c>
      <c r="D88" s="19" t="s">
        <v>8</v>
      </c>
      <c r="E88" s="7" t="s">
        <v>208</v>
      </c>
      <c r="F88" s="7"/>
      <c r="G88" s="7"/>
      <c r="H88" s="7" t="s">
        <v>234</v>
      </c>
      <c r="I88" s="18" t="n">
        <v>46305</v>
      </c>
      <c r="J88" s="19" t="s">
        <v>198</v>
      </c>
      <c r="K88" s="7" t="s">
        <v>209</v>
      </c>
      <c r="L88" s="7"/>
      <c r="M88" s="19" t="s">
        <v>193</v>
      </c>
      <c r="N88" s="7" t="s">
        <v>206</v>
      </c>
      <c r="O88" s="21"/>
      <c r="P88" s="7" t="s">
        <v>391</v>
      </c>
    </row>
    <row r="89" customFormat="false" ht="27.75" hidden="false" customHeight="true" outlineLevel="0" collapsed="false">
      <c r="A89" s="7" t="s">
        <v>165</v>
      </c>
      <c r="B89" s="7" t="s">
        <v>166</v>
      </c>
      <c r="C89" s="7" t="s">
        <v>19</v>
      </c>
      <c r="D89" s="19" t="s">
        <v>8</v>
      </c>
      <c r="E89" s="7" t="s">
        <v>208</v>
      </c>
      <c r="F89" s="7"/>
      <c r="G89" s="7"/>
      <c r="H89" s="7" t="s">
        <v>208</v>
      </c>
      <c r="I89" s="18" t="n">
        <v>46305</v>
      </c>
      <c r="J89" s="19" t="s">
        <v>198</v>
      </c>
      <c r="K89" s="7" t="s">
        <v>209</v>
      </c>
      <c r="L89" s="7"/>
      <c r="M89" s="19" t="s">
        <v>193</v>
      </c>
      <c r="N89" s="7" t="s">
        <v>210</v>
      </c>
      <c r="O89" s="21"/>
      <c r="P89" s="7" t="s">
        <v>392</v>
      </c>
    </row>
    <row r="90" customFormat="false" ht="40.5" hidden="false" customHeight="true" outlineLevel="0" collapsed="false">
      <c r="A90" s="7" t="s">
        <v>165</v>
      </c>
      <c r="B90" s="7" t="s">
        <v>166</v>
      </c>
      <c r="C90" s="7" t="s">
        <v>20</v>
      </c>
      <c r="D90" s="19" t="s">
        <v>8</v>
      </c>
      <c r="E90" s="7" t="s">
        <v>208</v>
      </c>
      <c r="F90" s="7"/>
      <c r="G90" s="7"/>
      <c r="H90" s="7" t="s">
        <v>208</v>
      </c>
      <c r="I90" s="18" t="n">
        <v>46305</v>
      </c>
      <c r="J90" s="19" t="s">
        <v>198</v>
      </c>
      <c r="K90" s="7" t="s">
        <v>209</v>
      </c>
      <c r="L90" s="7"/>
      <c r="M90" s="19" t="s">
        <v>193</v>
      </c>
      <c r="N90" s="7" t="s">
        <v>212</v>
      </c>
      <c r="O90" s="21"/>
      <c r="P90" s="7" t="s">
        <v>393</v>
      </c>
    </row>
    <row r="91" customFormat="false" ht="27.75" hidden="false" customHeight="true" outlineLevel="0" collapsed="false">
      <c r="A91" s="7" t="s">
        <v>165</v>
      </c>
      <c r="B91" s="7" t="s">
        <v>166</v>
      </c>
      <c r="C91" s="7" t="s">
        <v>21</v>
      </c>
      <c r="D91" s="19" t="s">
        <v>8</v>
      </c>
      <c r="E91" s="7" t="s">
        <v>208</v>
      </c>
      <c r="F91" s="7"/>
      <c r="G91" s="7"/>
      <c r="H91" s="7" t="s">
        <v>208</v>
      </c>
      <c r="I91" s="18" t="n">
        <v>46305</v>
      </c>
      <c r="J91" s="19" t="s">
        <v>198</v>
      </c>
      <c r="K91" s="7" t="s">
        <v>209</v>
      </c>
      <c r="L91" s="7"/>
      <c r="M91" s="19" t="s">
        <v>193</v>
      </c>
      <c r="N91" s="7" t="s">
        <v>214</v>
      </c>
      <c r="O91" s="21"/>
      <c r="P91" s="7" t="s">
        <v>394</v>
      </c>
    </row>
    <row r="92" customFormat="false" ht="27.75" hidden="false" customHeight="true" outlineLevel="0" collapsed="false">
      <c r="A92" s="7" t="s">
        <v>165</v>
      </c>
      <c r="B92" s="7" t="s">
        <v>166</v>
      </c>
      <c r="C92" s="7" t="s">
        <v>22</v>
      </c>
      <c r="D92" s="19" t="s">
        <v>8</v>
      </c>
      <c r="E92" s="7" t="s">
        <v>208</v>
      </c>
      <c r="F92" s="7"/>
      <c r="G92" s="7"/>
      <c r="H92" s="7" t="s">
        <v>208</v>
      </c>
      <c r="I92" s="18" t="n">
        <v>46305</v>
      </c>
      <c r="J92" s="19" t="s">
        <v>198</v>
      </c>
      <c r="K92" s="7" t="s">
        <v>209</v>
      </c>
      <c r="L92" s="7"/>
      <c r="M92" s="19" t="s">
        <v>193</v>
      </c>
      <c r="N92" s="7" t="s">
        <v>216</v>
      </c>
      <c r="O92" s="21"/>
      <c r="P92" s="7" t="s">
        <v>395</v>
      </c>
    </row>
    <row r="93" customFormat="false" ht="27.75" hidden="false" customHeight="true" outlineLevel="0" collapsed="false">
      <c r="A93" s="7" t="s">
        <v>165</v>
      </c>
      <c r="B93" s="7" t="s">
        <v>166</v>
      </c>
      <c r="C93" s="7" t="s">
        <v>23</v>
      </c>
      <c r="D93" s="19" t="s">
        <v>8</v>
      </c>
      <c r="E93" s="7" t="s">
        <v>208</v>
      </c>
      <c r="F93" s="7"/>
      <c r="G93" s="7"/>
      <c r="H93" s="7" t="s">
        <v>208</v>
      </c>
      <c r="I93" s="18" t="n">
        <v>46305</v>
      </c>
      <c r="J93" s="19" t="s">
        <v>198</v>
      </c>
      <c r="K93" s="7" t="s">
        <v>209</v>
      </c>
      <c r="L93" s="7"/>
      <c r="M93" s="19" t="s">
        <v>193</v>
      </c>
      <c r="N93" s="7" t="s">
        <v>218</v>
      </c>
      <c r="O93" s="21"/>
      <c r="P93" s="7" t="s">
        <v>396</v>
      </c>
    </row>
    <row r="94" customFormat="false" ht="40.5" hidden="false" customHeight="true" outlineLevel="0" collapsed="false">
      <c r="A94" s="7" t="s">
        <v>165</v>
      </c>
      <c r="B94" s="7" t="s">
        <v>166</v>
      </c>
      <c r="C94" s="7" t="s">
        <v>24</v>
      </c>
      <c r="D94" s="19" t="s">
        <v>8</v>
      </c>
      <c r="E94" s="7" t="s">
        <v>220</v>
      </c>
      <c r="F94" s="17" t="s">
        <v>196</v>
      </c>
      <c r="G94" s="7"/>
      <c r="H94" s="7" t="s">
        <v>221</v>
      </c>
      <c r="I94" s="18" t="n">
        <v>46305</v>
      </c>
      <c r="J94" s="19" t="s">
        <v>198</v>
      </c>
      <c r="K94" s="7" t="s">
        <v>222</v>
      </c>
      <c r="L94" s="7" t="s">
        <v>223</v>
      </c>
      <c r="M94" s="19" t="s">
        <v>193</v>
      </c>
      <c r="N94" s="7" t="s">
        <v>224</v>
      </c>
      <c r="O94" s="21"/>
      <c r="P94" s="7" t="s">
        <v>397</v>
      </c>
    </row>
  </sheetData>
  <conditionalFormatting sqref="D5:D94">
    <cfRule type="cellIs" priority="2" operator="equal" aboveAverage="0" equalAverage="0" bottom="0" percent="0" rank="0" text="" dxfId="0">
      <formula>"verified"</formula>
    </cfRule>
    <cfRule type="cellIs" priority="3" operator="equal" aboveAverage="0" equalAverage="0" bottom="0" percent="0" rank="0" text="" dxfId="1">
      <formula>"partially_verified"</formula>
    </cfRule>
    <cfRule type="cellIs" priority="4" operator="equal" aboveAverage="0" equalAverage="0" bottom="0" percent="0" rank="0" text="" dxfId="2">
      <formula>"unverified"</formula>
    </cfRule>
    <cfRule type="cellIs" priority="5" operator="equal" aboveAverage="0" equalAverage="0" bottom="0" percent="0" rank="0" text="" dxfId="3">
      <formula>"conflicting"</formula>
    </cfRule>
    <cfRule type="cellIs" priority="6" operator="equal" aboveAverage="0" equalAverage="0" bottom="0" percent="0" rank="0" text="" dxfId="4">
      <formula>"not_applicable"</formula>
    </cfRule>
  </conditionalFormatting>
  <conditionalFormatting sqref="E5:E94">
    <cfRule type="expression" priority="7" aboveAverage="0" equalAverage="0" bottom="0" percent="0" rank="0" text="" dxfId="25">
      <formula>$E5="NO EVIDENCE LOCATED"</formula>
    </cfRule>
  </conditionalFormatting>
  <dataValidations count="3">
    <dataValidation allowBlank="false" error="Use one of the five documented status values." errorStyle="stop" errorTitle="Status" operator="between" showDropDown="false" showErrorMessage="true" showInputMessage="false" sqref="D5:D94" type="list">
      <formula1>"verified,partially_verified,unverified,conflicting,not_applicable"</formula1>
      <formula2>0</formula2>
    </dataValidation>
    <dataValidation allowBlank="false" errorStyle="stop" operator="between" showDropDown="false" showErrorMessage="true" showInputMessage="false" sqref="J5:J94" type="list">
      <formula1>"high,medium,low"</formula1>
      <formula2>0</formula2>
    </dataValidation>
    <dataValidation allowBlank="false" errorStyle="stop" operator="between" showDropDown="false" showErrorMessage="true" showInputMessage="false" sqref="M5:M94" type="list">
      <formula1>"human_verification_required,no_follow_up_needed"</formula1>
      <formula2>0</formula2>
    </dataValidation>
  </dataValidations>
  <hyperlinks>
    <hyperlink ref="F5" r:id="rId1" display="https://www.ndmc.gov.in/pdf/cpcb_approved_list_of_e-waste_recyclers_dismantler.pdf"/>
    <hyperlink ref="F6" r:id="rId2" display="https://www.ndmc.gov.in/pdf/cpcb_approved_list_of_e-waste_recyclers_dismantler.pdf"/>
    <hyperlink ref="F7" r:id="rId3" display="https://www.ndmc.gov.in/pdf/cpcb_approved_list_of_e-waste_recyclers_dismantler.pdf"/>
    <hyperlink ref="F13" r:id="rId4" display="https://www.eprewaste.cpcb.gov.in/"/>
    <hyperlink ref="F14" r:id="rId5" display="https://www.ndmc.gov.in/pdf/cpcb_approved_list_of_e-waste_recyclers_dismantler.pdf"/>
    <hyperlink ref="F15" r:id="rId6" display="https://www.eprewaste.cpcb.gov.in/"/>
    <hyperlink ref="F22" r:id="rId7" display="https://www.eprewaste.cpcb.gov.in/"/>
    <hyperlink ref="F23" r:id="rId8" display="https://www.ndmc.gov.in/pdf/cpcb_approved_list_of_e-waste_recyclers_dismantler.pdf"/>
    <hyperlink ref="F24" r:id="rId9" display="https://www.ndmc.gov.in/pdf/cpcb_approved_list_of_e-waste_recyclers_dismantler.pdf"/>
    <hyperlink ref="F25" r:id="rId10" display="https://hisenseme.com/assets/assets/img/certificate/E-waste_Management.pdf"/>
    <hyperlink ref="F26" r:id="rId11" display="https://hisenseme.com/assets/assets/img/certificate/E-waste_Management.pdf"/>
    <hyperlink ref="F27" r:id="rId12" display="https://m.indiamart.com/ewaste-solution"/>
    <hyperlink ref="F28" r:id="rId13" display="https://m.indiamart.com/ewaste-solution"/>
    <hyperlink ref="F29" r:id="rId14" display="https://m.indiamart.com/ewaste-solution"/>
    <hyperlink ref="F30" r:id="rId15" display="https://m.indiamart.com/ewaste-solution"/>
    <hyperlink ref="F31" r:id="rId16" display="https://www.eprewaste.cpcb.gov.in/"/>
    <hyperlink ref="F32" r:id="rId17" display="https://www.ndmc.gov.in/pdf/cpcb_approved_list_of_e-waste_recyclers_dismantler.pdf"/>
    <hyperlink ref="F33" r:id="rId18" display="https://www.ndmc.gov.in/pdf/cpcb_approved_list_of_e-waste_recyclers_dismantler.pdf"/>
    <hyperlink ref="F40" r:id="rId19" display="https://www.eprewaste.cpcb.gov.in/"/>
    <hyperlink ref="F41" r:id="rId20" display="https://www.ndmc.gov.in/pdf/cpcb_approved_list_of_e-waste_recyclers_dismantler.pdf"/>
    <hyperlink ref="F42" r:id="rId21" display="https://www.ndmc.gov.in/pdf/cpcb_approved_list_of_e-waste_recyclers_dismantler.pdf"/>
    <hyperlink ref="F49" r:id="rId22" display="https://www.eprewaste.cpcb.gov.in/"/>
    <hyperlink ref="F50" r:id="rId23" display="https://www.ndmc.gov.in/pdf/cpcb_approved_list_of_e-waste_recyclers_dismantler.pdf"/>
    <hyperlink ref="F51" r:id="rId24" display="https://www.miele.in/cs/legal/national-e-waste-recycling-program-3310"/>
    <hyperlink ref="F52" r:id="rId25" display="https://www.naturevoltrecyclers.com"/>
    <hyperlink ref="F53" r:id="rId26" display="https://www.naturevoltrecyclers.com"/>
    <hyperlink ref="F54" r:id="rId27" display="https://www.naturevoltrecyclers.com"/>
    <hyperlink ref="F55" r:id="rId28" display="https://www.naturevoltrecyclers.com"/>
    <hyperlink ref="F56" r:id="rId29" display="https://www.naturevoltrecyclers.com"/>
    <hyperlink ref="F58" r:id="rId30" display="https://www.eprewaste.cpcb.gov.in/"/>
    <hyperlink ref="F59" r:id="rId31" display="https://www.ndmc.gov.in/pdf/cpcb_approved_list_of_e-waste_recyclers_dismantler.pdf"/>
    <hyperlink ref="F60" r:id="rId32" display="https://www.ndmc.gov.in/pdf/cpcb_approved_list_of_e-waste_recyclers_dismantler.pdf"/>
    <hyperlink ref="F67" r:id="rId33" display="https://www.eprewaste.cpcb.gov.in/"/>
    <hyperlink ref="F68" r:id="rId34" display="https://www.ndmc.gov.in/pdf/cpcb_approved_list_of_e-waste_recyclers_dismantler.pdf"/>
    <hyperlink ref="F69" r:id="rId35" display="https://www.eurekaforbes.com/media/E-waste_awareness_of_collection_Mecahnisim.pdf"/>
    <hyperlink ref="F70" r:id="rId36" display="https://www.greentribunal.gov.in/sites/default/files/news_updates/Reply%20of%20HSPCB%20in%20OA%20No.%2088%20of%202025%20(Devidas%20Khatri%20Vs.%20UOI%20%26%20Ors.).pdf"/>
    <hyperlink ref="F71" r:id="rId37" display="https://www.eurekaforbes.com/media/E-waste_awareness_of_collection_Mecahnisim.pdf"/>
    <hyperlink ref="F72" r:id="rId38" display="https://www.eurekaforbes.com/media/E-waste_awareness_of_collection_Mecahnisim.pdf"/>
    <hyperlink ref="F74" r:id="rId39" display="https://www.eurekaforbes.com/media/E-waste_awareness_of_collection_Mecahnisim.pdf"/>
    <hyperlink ref="F76" r:id="rId40" display="https://www.eprewaste.cpcb.gov.in/"/>
    <hyperlink ref="F77" r:id="rId41" display="https://www.ndmc.gov.in/pdf/cpcb_approved_list_of_e-waste_recyclers_dismantler.pdf"/>
    <hyperlink ref="F78" r:id="rId42" display="https://www.ndmc.gov.in/pdf/cpcb_approved_list_of_e-waste_recyclers_dismantler.pdf"/>
    <hyperlink ref="F85" r:id="rId43" display="https://www.eprewaste.cpcb.gov.in/"/>
    <hyperlink ref="F86" r:id="rId44" display="https://www.ndmc.gov.in/pdf/cpcb_approved_list_of_e-waste_recyclers_dismantler.pdf"/>
    <hyperlink ref="F87" r:id="rId45" display="https://www.ndmc.gov.in/pdf/cpcb_approved_list_of_e-waste_recyclers_dismantler.pdf"/>
    <hyperlink ref="F94" r:id="rId46" display="https://www.eprewaste.cpcb.gov.in/"/>
  </hyperlinks>
  <printOptions headings="false" gridLines="false" gridLinesSet="true" horizontalCentered="false" verticalCentered="false"/>
  <pageMargins left="0.4" right="0.4" top="0.6" bottom="0.6" header="0.511811023622047" footer="0.5"/>
  <pageSetup paperSize="9" scale="100" fitToWidth="2" fitToHeight="0" pageOrder="downThenOver" orientation="landscape" blackAndWhite="false" draft="false" cellComments="none" horizontalDpi="300" verticalDpi="300" copies="1"/>
  <headerFooter differentFirst="false" differentOddEven="false">
    <oddHeader/>
    <oddFooter>&amp;C&amp;8 &amp;A - page &amp;P of &amp;N&amp;R&amp;8 Research/review artifact - not authorization to publish</oddFooter>
  </headerFooter>
  <tableParts>
    <tablePart r:id="rId4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O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4" min="3" style="0" width="28"/>
    <col collapsed="false" customWidth="true" hidden="false" outlineLevel="0" max="5" min="5" style="0" width="56"/>
    <col collapsed="false" customWidth="true" hidden="false" outlineLevel="0" max="6" min="6" style="0" width="12"/>
    <col collapsed="false" customWidth="true" hidden="false" outlineLevel="0" max="7" min="7" style="0" width="18"/>
    <col collapsed="false" customWidth="true" hidden="false" outlineLevel="0" max="9" min="8" style="0" width="34"/>
    <col collapsed="false" customWidth="true" hidden="false" outlineLevel="0" max="11" min="10" style="0" width="13"/>
    <col collapsed="false" customWidth="true" hidden="false" outlineLevel="0" max="12" min="12" style="0" width="30"/>
    <col collapsed="false" customWidth="true" hidden="false" outlineLevel="0" max="13" min="13" style="0" width="17"/>
    <col collapsed="false" customWidth="true" hidden="false" outlineLevel="0" max="14" min="14" style="0" width="40"/>
    <col collapsed="false" customWidth="true" hidden="false" outlineLevel="0" max="15" min="15" style="0" width="15"/>
  </cols>
  <sheetData>
    <row r="1" customFormat="false" ht="24" hidden="false" customHeight="true" outlineLevel="0" collapsed="false">
      <c r="A1" s="1" t="s">
        <v>398</v>
      </c>
    </row>
    <row r="2" customFormat="false" ht="15" hidden="false" customHeight="false" outlineLevel="0" collapsed="false">
      <c r="A2" s="2" t="s">
        <v>399</v>
      </c>
    </row>
    <row r="3" customFormat="false" ht="15" hidden="false" customHeight="false" outlineLevel="0" collapsed="false">
      <c r="A3" s="2" t="s">
        <v>400</v>
      </c>
    </row>
    <row r="4" customFormat="false" ht="31.5" hidden="false" customHeight="true" outlineLevel="0" collapsed="false">
      <c r="A4" s="5" t="s">
        <v>401</v>
      </c>
      <c r="B4" s="5" t="s">
        <v>172</v>
      </c>
      <c r="C4" s="5" t="s">
        <v>173</v>
      </c>
      <c r="D4" s="5" t="s">
        <v>402</v>
      </c>
      <c r="E4" s="16" t="s">
        <v>403</v>
      </c>
      <c r="F4" s="16" t="s">
        <v>404</v>
      </c>
      <c r="G4" s="20" t="s">
        <v>405</v>
      </c>
      <c r="H4" s="16" t="s">
        <v>406</v>
      </c>
      <c r="I4" s="16" t="s">
        <v>407</v>
      </c>
      <c r="J4" s="20" t="s">
        <v>408</v>
      </c>
      <c r="K4" s="20" t="s">
        <v>409</v>
      </c>
      <c r="L4" s="20" t="s">
        <v>410</v>
      </c>
      <c r="M4" s="20" t="s">
        <v>411</v>
      </c>
      <c r="N4" s="16" t="s">
        <v>412</v>
      </c>
      <c r="O4" s="20" t="s">
        <v>413</v>
      </c>
    </row>
    <row r="5" customFormat="false" ht="52.5" hidden="false" customHeight="true" outlineLevel="0" collapsed="false">
      <c r="A5" s="19" t="s">
        <v>414</v>
      </c>
      <c r="B5" s="7" t="s">
        <v>106</v>
      </c>
      <c r="C5" s="7" t="s">
        <v>107</v>
      </c>
      <c r="D5" s="7" t="s">
        <v>16</v>
      </c>
      <c r="E5" s="7" t="s">
        <v>415</v>
      </c>
      <c r="F5" s="19" t="s">
        <v>416</v>
      </c>
      <c r="G5" s="21"/>
      <c r="H5" s="7" t="s">
        <v>417</v>
      </c>
      <c r="I5" s="7" t="s">
        <v>418</v>
      </c>
      <c r="J5" s="22"/>
      <c r="K5" s="22"/>
      <c r="L5" s="21"/>
      <c r="M5" s="23" t="s">
        <v>419</v>
      </c>
      <c r="N5" s="7" t="s">
        <v>194</v>
      </c>
      <c r="O5" s="23" t="s">
        <v>420</v>
      </c>
    </row>
    <row r="6" customFormat="false" ht="65.25" hidden="false" customHeight="true" outlineLevel="0" collapsed="false">
      <c r="A6" s="19" t="s">
        <v>421</v>
      </c>
      <c r="B6" s="7" t="s">
        <v>106</v>
      </c>
      <c r="C6" s="7" t="s">
        <v>107</v>
      </c>
      <c r="D6" s="7" t="s">
        <v>17</v>
      </c>
      <c r="E6" s="7" t="s">
        <v>422</v>
      </c>
      <c r="F6" s="19" t="s">
        <v>423</v>
      </c>
      <c r="G6" s="21"/>
      <c r="H6" s="7" t="s">
        <v>417</v>
      </c>
      <c r="I6" s="7" t="s">
        <v>418</v>
      </c>
      <c r="J6" s="22"/>
      <c r="K6" s="22"/>
      <c r="L6" s="21"/>
      <c r="M6" s="23" t="s">
        <v>419</v>
      </c>
      <c r="N6" s="7" t="s">
        <v>201</v>
      </c>
      <c r="O6" s="23" t="s">
        <v>420</v>
      </c>
    </row>
    <row r="7" customFormat="false" ht="40.5" hidden="false" customHeight="true" outlineLevel="0" collapsed="false">
      <c r="A7" s="19" t="s">
        <v>424</v>
      </c>
      <c r="B7" s="7" t="s">
        <v>106</v>
      </c>
      <c r="C7" s="7" t="s">
        <v>107</v>
      </c>
      <c r="D7" s="7" t="s">
        <v>18</v>
      </c>
      <c r="E7" s="7" t="s">
        <v>425</v>
      </c>
      <c r="F7" s="19" t="s">
        <v>416</v>
      </c>
      <c r="G7" s="21"/>
      <c r="H7" s="7"/>
      <c r="I7" s="7" t="s">
        <v>426</v>
      </c>
      <c r="J7" s="22"/>
      <c r="K7" s="22"/>
      <c r="L7" s="21"/>
      <c r="M7" s="23" t="s">
        <v>419</v>
      </c>
      <c r="N7" s="7" t="s">
        <v>206</v>
      </c>
      <c r="O7" s="23" t="s">
        <v>420</v>
      </c>
    </row>
    <row r="8" customFormat="false" ht="40.5" hidden="false" customHeight="true" outlineLevel="0" collapsed="false">
      <c r="A8" s="19" t="s">
        <v>427</v>
      </c>
      <c r="B8" s="7" t="s">
        <v>106</v>
      </c>
      <c r="C8" s="7" t="s">
        <v>107</v>
      </c>
      <c r="D8" s="7" t="s">
        <v>19</v>
      </c>
      <c r="E8" s="7" t="s">
        <v>428</v>
      </c>
      <c r="F8" s="19" t="s">
        <v>423</v>
      </c>
      <c r="G8" s="21"/>
      <c r="H8" s="7"/>
      <c r="I8" s="7" t="s">
        <v>426</v>
      </c>
      <c r="J8" s="22"/>
      <c r="K8" s="22"/>
      <c r="L8" s="21"/>
      <c r="M8" s="23" t="s">
        <v>419</v>
      </c>
      <c r="N8" s="7" t="s">
        <v>210</v>
      </c>
      <c r="O8" s="23" t="s">
        <v>420</v>
      </c>
    </row>
    <row r="9" customFormat="false" ht="40.5" hidden="false" customHeight="true" outlineLevel="0" collapsed="false">
      <c r="A9" s="19" t="s">
        <v>429</v>
      </c>
      <c r="B9" s="7" t="s">
        <v>106</v>
      </c>
      <c r="C9" s="7" t="s">
        <v>107</v>
      </c>
      <c r="D9" s="7" t="s">
        <v>20</v>
      </c>
      <c r="E9" s="7" t="s">
        <v>430</v>
      </c>
      <c r="F9" s="19" t="s">
        <v>416</v>
      </c>
      <c r="G9" s="21"/>
      <c r="H9" s="7"/>
      <c r="I9" s="7" t="s">
        <v>426</v>
      </c>
      <c r="J9" s="22"/>
      <c r="K9" s="22"/>
      <c r="L9" s="21"/>
      <c r="M9" s="23" t="s">
        <v>419</v>
      </c>
      <c r="N9" s="7" t="s">
        <v>212</v>
      </c>
      <c r="O9" s="23" t="s">
        <v>420</v>
      </c>
    </row>
    <row r="10" customFormat="false" ht="40.5" hidden="false" customHeight="true" outlineLevel="0" collapsed="false">
      <c r="A10" s="19" t="s">
        <v>431</v>
      </c>
      <c r="B10" s="7" t="s">
        <v>106</v>
      </c>
      <c r="C10" s="7" t="s">
        <v>107</v>
      </c>
      <c r="D10" s="7" t="s">
        <v>21</v>
      </c>
      <c r="E10" s="7" t="s">
        <v>432</v>
      </c>
      <c r="F10" s="19" t="s">
        <v>416</v>
      </c>
      <c r="G10" s="21"/>
      <c r="H10" s="7"/>
      <c r="I10" s="7" t="s">
        <v>426</v>
      </c>
      <c r="J10" s="22"/>
      <c r="K10" s="22"/>
      <c r="L10" s="21"/>
      <c r="M10" s="23" t="s">
        <v>419</v>
      </c>
      <c r="N10" s="7" t="s">
        <v>214</v>
      </c>
      <c r="O10" s="23" t="s">
        <v>420</v>
      </c>
    </row>
    <row r="11" customFormat="false" ht="40.5" hidden="false" customHeight="true" outlineLevel="0" collapsed="false">
      <c r="A11" s="19" t="s">
        <v>433</v>
      </c>
      <c r="B11" s="7" t="s">
        <v>106</v>
      </c>
      <c r="C11" s="7" t="s">
        <v>107</v>
      </c>
      <c r="D11" s="7" t="s">
        <v>22</v>
      </c>
      <c r="E11" s="7" t="s">
        <v>434</v>
      </c>
      <c r="F11" s="19" t="s">
        <v>416</v>
      </c>
      <c r="G11" s="21"/>
      <c r="H11" s="7"/>
      <c r="I11" s="7" t="s">
        <v>426</v>
      </c>
      <c r="J11" s="22"/>
      <c r="K11" s="22"/>
      <c r="L11" s="21"/>
      <c r="M11" s="23" t="s">
        <v>419</v>
      </c>
      <c r="N11" s="7" t="s">
        <v>216</v>
      </c>
      <c r="O11" s="23" t="s">
        <v>420</v>
      </c>
    </row>
    <row r="12" customFormat="false" ht="40.5" hidden="false" customHeight="true" outlineLevel="0" collapsed="false">
      <c r="A12" s="19" t="s">
        <v>435</v>
      </c>
      <c r="B12" s="7" t="s">
        <v>106</v>
      </c>
      <c r="C12" s="7" t="s">
        <v>107</v>
      </c>
      <c r="D12" s="7" t="s">
        <v>23</v>
      </c>
      <c r="E12" s="7" t="s">
        <v>436</v>
      </c>
      <c r="F12" s="19" t="s">
        <v>437</v>
      </c>
      <c r="G12" s="21"/>
      <c r="H12" s="7"/>
      <c r="I12" s="7" t="s">
        <v>426</v>
      </c>
      <c r="J12" s="22"/>
      <c r="K12" s="22"/>
      <c r="L12" s="21"/>
      <c r="M12" s="23" t="s">
        <v>419</v>
      </c>
      <c r="N12" s="7" t="s">
        <v>218</v>
      </c>
      <c r="O12" s="23" t="s">
        <v>420</v>
      </c>
    </row>
    <row r="13" customFormat="false" ht="40.5" hidden="false" customHeight="true" outlineLevel="0" collapsed="false">
      <c r="A13" s="19" t="s">
        <v>438</v>
      </c>
      <c r="B13" s="7" t="s">
        <v>106</v>
      </c>
      <c r="C13" s="7" t="s">
        <v>107</v>
      </c>
      <c r="D13" s="7" t="s">
        <v>24</v>
      </c>
      <c r="E13" s="7" t="s">
        <v>439</v>
      </c>
      <c r="F13" s="19" t="s">
        <v>423</v>
      </c>
      <c r="G13" s="21"/>
      <c r="H13" s="7"/>
      <c r="I13" s="7" t="s">
        <v>426</v>
      </c>
      <c r="J13" s="22"/>
      <c r="K13" s="22"/>
      <c r="L13" s="21"/>
      <c r="M13" s="23" t="s">
        <v>419</v>
      </c>
      <c r="N13" s="7" t="s">
        <v>224</v>
      </c>
      <c r="O13" s="23" t="s">
        <v>420</v>
      </c>
    </row>
    <row r="14" customFormat="false" ht="40.5" hidden="false" customHeight="true" outlineLevel="0" collapsed="false">
      <c r="A14" s="19" t="s">
        <v>440</v>
      </c>
      <c r="B14" s="7" t="s">
        <v>123</v>
      </c>
      <c r="C14" s="7" t="s">
        <v>124</v>
      </c>
      <c r="D14" s="7" t="s">
        <v>16</v>
      </c>
      <c r="E14" s="7" t="s">
        <v>441</v>
      </c>
      <c r="F14" s="19" t="s">
        <v>416</v>
      </c>
      <c r="G14" s="21"/>
      <c r="H14" s="7" t="s">
        <v>417</v>
      </c>
      <c r="I14" s="7" t="s">
        <v>418</v>
      </c>
      <c r="J14" s="22"/>
      <c r="K14" s="22"/>
      <c r="L14" s="21"/>
      <c r="M14" s="23" t="s">
        <v>419</v>
      </c>
      <c r="N14" s="7" t="s">
        <v>194</v>
      </c>
      <c r="O14" s="23" t="s">
        <v>420</v>
      </c>
    </row>
    <row r="15" customFormat="false" ht="65.25" hidden="false" customHeight="true" outlineLevel="0" collapsed="false">
      <c r="A15" s="19" t="s">
        <v>442</v>
      </c>
      <c r="B15" s="7" t="s">
        <v>123</v>
      </c>
      <c r="C15" s="7" t="s">
        <v>124</v>
      </c>
      <c r="D15" s="7" t="s">
        <v>17</v>
      </c>
      <c r="E15" s="7" t="s">
        <v>422</v>
      </c>
      <c r="F15" s="19" t="s">
        <v>423</v>
      </c>
      <c r="G15" s="21"/>
      <c r="H15" s="7" t="s">
        <v>417</v>
      </c>
      <c r="I15" s="7" t="s">
        <v>418</v>
      </c>
      <c r="J15" s="22"/>
      <c r="K15" s="22"/>
      <c r="L15" s="21"/>
      <c r="M15" s="23" t="s">
        <v>419</v>
      </c>
      <c r="N15" s="7" t="s">
        <v>201</v>
      </c>
      <c r="O15" s="23" t="s">
        <v>420</v>
      </c>
    </row>
    <row r="16" customFormat="false" ht="52.5" hidden="false" customHeight="true" outlineLevel="0" collapsed="false">
      <c r="A16" s="19" t="s">
        <v>443</v>
      </c>
      <c r="B16" s="7" t="s">
        <v>123</v>
      </c>
      <c r="C16" s="7" t="s">
        <v>124</v>
      </c>
      <c r="D16" s="7" t="s">
        <v>18</v>
      </c>
      <c r="E16" s="7" t="s">
        <v>444</v>
      </c>
      <c r="F16" s="19" t="s">
        <v>416</v>
      </c>
      <c r="G16" s="21"/>
      <c r="H16" s="7"/>
      <c r="I16" s="7" t="s">
        <v>426</v>
      </c>
      <c r="J16" s="22"/>
      <c r="K16" s="22"/>
      <c r="L16" s="21"/>
      <c r="M16" s="23" t="s">
        <v>419</v>
      </c>
      <c r="N16" s="7" t="s">
        <v>206</v>
      </c>
      <c r="O16" s="23" t="s">
        <v>420</v>
      </c>
    </row>
    <row r="17" customFormat="false" ht="40.5" hidden="false" customHeight="true" outlineLevel="0" collapsed="false">
      <c r="A17" s="19" t="s">
        <v>445</v>
      </c>
      <c r="B17" s="7" t="s">
        <v>123</v>
      </c>
      <c r="C17" s="7" t="s">
        <v>124</v>
      </c>
      <c r="D17" s="7" t="s">
        <v>19</v>
      </c>
      <c r="E17" s="7" t="s">
        <v>428</v>
      </c>
      <c r="F17" s="19" t="s">
        <v>423</v>
      </c>
      <c r="G17" s="21"/>
      <c r="H17" s="7"/>
      <c r="I17" s="7" t="s">
        <v>426</v>
      </c>
      <c r="J17" s="22"/>
      <c r="K17" s="22"/>
      <c r="L17" s="21"/>
      <c r="M17" s="23" t="s">
        <v>419</v>
      </c>
      <c r="N17" s="7" t="s">
        <v>210</v>
      </c>
      <c r="O17" s="23" t="s">
        <v>420</v>
      </c>
    </row>
    <row r="18" customFormat="false" ht="40.5" hidden="false" customHeight="true" outlineLevel="0" collapsed="false">
      <c r="A18" s="19" t="s">
        <v>446</v>
      </c>
      <c r="B18" s="7" t="s">
        <v>123</v>
      </c>
      <c r="C18" s="7" t="s">
        <v>124</v>
      </c>
      <c r="D18" s="7" t="s">
        <v>20</v>
      </c>
      <c r="E18" s="7" t="s">
        <v>430</v>
      </c>
      <c r="F18" s="19" t="s">
        <v>416</v>
      </c>
      <c r="G18" s="21"/>
      <c r="H18" s="7"/>
      <c r="I18" s="7" t="s">
        <v>426</v>
      </c>
      <c r="J18" s="22"/>
      <c r="K18" s="22"/>
      <c r="L18" s="21"/>
      <c r="M18" s="23" t="s">
        <v>419</v>
      </c>
      <c r="N18" s="7" t="s">
        <v>212</v>
      </c>
      <c r="O18" s="23" t="s">
        <v>420</v>
      </c>
    </row>
    <row r="19" customFormat="false" ht="40.5" hidden="false" customHeight="true" outlineLevel="0" collapsed="false">
      <c r="A19" s="19" t="s">
        <v>447</v>
      </c>
      <c r="B19" s="7" t="s">
        <v>123</v>
      </c>
      <c r="C19" s="7" t="s">
        <v>124</v>
      </c>
      <c r="D19" s="7" t="s">
        <v>21</v>
      </c>
      <c r="E19" s="7" t="s">
        <v>432</v>
      </c>
      <c r="F19" s="19" t="s">
        <v>416</v>
      </c>
      <c r="G19" s="21"/>
      <c r="H19" s="7"/>
      <c r="I19" s="7" t="s">
        <v>426</v>
      </c>
      <c r="J19" s="22"/>
      <c r="K19" s="22"/>
      <c r="L19" s="21"/>
      <c r="M19" s="23" t="s">
        <v>419</v>
      </c>
      <c r="N19" s="7" t="s">
        <v>214</v>
      </c>
      <c r="O19" s="23" t="s">
        <v>420</v>
      </c>
    </row>
    <row r="20" customFormat="false" ht="40.5" hidden="false" customHeight="true" outlineLevel="0" collapsed="false">
      <c r="A20" s="19" t="s">
        <v>448</v>
      </c>
      <c r="B20" s="7" t="s">
        <v>123</v>
      </c>
      <c r="C20" s="7" t="s">
        <v>124</v>
      </c>
      <c r="D20" s="7" t="s">
        <v>22</v>
      </c>
      <c r="E20" s="7" t="s">
        <v>434</v>
      </c>
      <c r="F20" s="19" t="s">
        <v>416</v>
      </c>
      <c r="G20" s="21"/>
      <c r="H20" s="7"/>
      <c r="I20" s="7" t="s">
        <v>426</v>
      </c>
      <c r="J20" s="22"/>
      <c r="K20" s="22"/>
      <c r="L20" s="21"/>
      <c r="M20" s="23" t="s">
        <v>419</v>
      </c>
      <c r="N20" s="7" t="s">
        <v>216</v>
      </c>
      <c r="O20" s="23" t="s">
        <v>420</v>
      </c>
    </row>
    <row r="21" customFormat="false" ht="40.5" hidden="false" customHeight="true" outlineLevel="0" collapsed="false">
      <c r="A21" s="19" t="s">
        <v>449</v>
      </c>
      <c r="B21" s="7" t="s">
        <v>123</v>
      </c>
      <c r="C21" s="7" t="s">
        <v>124</v>
      </c>
      <c r="D21" s="7" t="s">
        <v>23</v>
      </c>
      <c r="E21" s="7" t="s">
        <v>436</v>
      </c>
      <c r="F21" s="19" t="s">
        <v>437</v>
      </c>
      <c r="G21" s="21"/>
      <c r="H21" s="7"/>
      <c r="I21" s="7" t="s">
        <v>426</v>
      </c>
      <c r="J21" s="22"/>
      <c r="K21" s="22"/>
      <c r="L21" s="21"/>
      <c r="M21" s="23" t="s">
        <v>419</v>
      </c>
      <c r="N21" s="7" t="s">
        <v>218</v>
      </c>
      <c r="O21" s="23" t="s">
        <v>420</v>
      </c>
    </row>
    <row r="22" customFormat="false" ht="40.5" hidden="false" customHeight="true" outlineLevel="0" collapsed="false">
      <c r="A22" s="19" t="s">
        <v>450</v>
      </c>
      <c r="B22" s="7" t="s">
        <v>123</v>
      </c>
      <c r="C22" s="7" t="s">
        <v>124</v>
      </c>
      <c r="D22" s="7" t="s">
        <v>24</v>
      </c>
      <c r="E22" s="7" t="s">
        <v>439</v>
      </c>
      <c r="F22" s="19" t="s">
        <v>423</v>
      </c>
      <c r="G22" s="21"/>
      <c r="H22" s="7"/>
      <c r="I22" s="7" t="s">
        <v>426</v>
      </c>
      <c r="J22" s="22"/>
      <c r="K22" s="22"/>
      <c r="L22" s="21"/>
      <c r="M22" s="23" t="s">
        <v>419</v>
      </c>
      <c r="N22" s="7" t="s">
        <v>224</v>
      </c>
      <c r="O22" s="23" t="s">
        <v>420</v>
      </c>
    </row>
    <row r="23" customFormat="false" ht="40.5" hidden="false" customHeight="true" outlineLevel="0" collapsed="false">
      <c r="A23" s="19" t="s">
        <v>451</v>
      </c>
      <c r="B23" s="7" t="s">
        <v>130</v>
      </c>
      <c r="C23" s="7" t="s">
        <v>131</v>
      </c>
      <c r="D23" s="7" t="s">
        <v>16</v>
      </c>
      <c r="E23" s="7" t="s">
        <v>452</v>
      </c>
      <c r="F23" s="19" t="s">
        <v>416</v>
      </c>
      <c r="G23" s="21"/>
      <c r="H23" s="7" t="s">
        <v>417</v>
      </c>
      <c r="I23" s="7" t="s">
        <v>418</v>
      </c>
      <c r="J23" s="22"/>
      <c r="K23" s="22"/>
      <c r="L23" s="21"/>
      <c r="M23" s="23" t="s">
        <v>419</v>
      </c>
      <c r="N23" s="7" t="s">
        <v>194</v>
      </c>
      <c r="O23" s="23" t="s">
        <v>420</v>
      </c>
    </row>
    <row r="24" customFormat="false" ht="65.25" hidden="false" customHeight="true" outlineLevel="0" collapsed="false">
      <c r="A24" s="19" t="s">
        <v>453</v>
      </c>
      <c r="B24" s="7" t="s">
        <v>130</v>
      </c>
      <c r="C24" s="7" t="s">
        <v>131</v>
      </c>
      <c r="D24" s="7" t="s">
        <v>17</v>
      </c>
      <c r="E24" s="7" t="s">
        <v>422</v>
      </c>
      <c r="F24" s="19" t="s">
        <v>423</v>
      </c>
      <c r="G24" s="21"/>
      <c r="H24" s="7" t="s">
        <v>417</v>
      </c>
      <c r="I24" s="7" t="s">
        <v>418</v>
      </c>
      <c r="J24" s="22"/>
      <c r="K24" s="22"/>
      <c r="L24" s="21"/>
      <c r="M24" s="23" t="s">
        <v>419</v>
      </c>
      <c r="N24" s="7" t="s">
        <v>201</v>
      </c>
      <c r="O24" s="23" t="s">
        <v>420</v>
      </c>
    </row>
    <row r="25" customFormat="false" ht="40.5" hidden="false" customHeight="true" outlineLevel="0" collapsed="false">
      <c r="A25" s="19" t="s">
        <v>454</v>
      </c>
      <c r="B25" s="7" t="s">
        <v>130</v>
      </c>
      <c r="C25" s="7" t="s">
        <v>131</v>
      </c>
      <c r="D25" s="7" t="s">
        <v>18</v>
      </c>
      <c r="E25" s="7" t="s">
        <v>455</v>
      </c>
      <c r="F25" s="19" t="s">
        <v>416</v>
      </c>
      <c r="G25" s="21"/>
      <c r="H25" s="7"/>
      <c r="I25" s="7" t="s">
        <v>426</v>
      </c>
      <c r="J25" s="22"/>
      <c r="K25" s="22"/>
      <c r="L25" s="21"/>
      <c r="M25" s="23" t="s">
        <v>419</v>
      </c>
      <c r="N25" s="7" t="s">
        <v>206</v>
      </c>
      <c r="O25" s="23" t="s">
        <v>420</v>
      </c>
    </row>
    <row r="26" customFormat="false" ht="40.5" hidden="false" customHeight="true" outlineLevel="0" collapsed="false">
      <c r="A26" s="19" t="s">
        <v>456</v>
      </c>
      <c r="B26" s="7" t="s">
        <v>130</v>
      </c>
      <c r="C26" s="7" t="s">
        <v>131</v>
      </c>
      <c r="D26" s="7" t="s">
        <v>19</v>
      </c>
      <c r="E26" s="7" t="s">
        <v>428</v>
      </c>
      <c r="F26" s="19" t="s">
        <v>423</v>
      </c>
      <c r="G26" s="21"/>
      <c r="H26" s="7"/>
      <c r="I26" s="7" t="s">
        <v>426</v>
      </c>
      <c r="J26" s="22"/>
      <c r="K26" s="22"/>
      <c r="L26" s="21"/>
      <c r="M26" s="23" t="s">
        <v>419</v>
      </c>
      <c r="N26" s="7" t="s">
        <v>210</v>
      </c>
      <c r="O26" s="23" t="s">
        <v>420</v>
      </c>
    </row>
    <row r="27" customFormat="false" ht="40.5" hidden="false" customHeight="true" outlineLevel="0" collapsed="false">
      <c r="A27" s="19" t="s">
        <v>457</v>
      </c>
      <c r="B27" s="7" t="s">
        <v>130</v>
      </c>
      <c r="C27" s="7" t="s">
        <v>131</v>
      </c>
      <c r="D27" s="7" t="s">
        <v>20</v>
      </c>
      <c r="E27" s="7" t="s">
        <v>430</v>
      </c>
      <c r="F27" s="19" t="s">
        <v>416</v>
      </c>
      <c r="G27" s="21"/>
      <c r="H27" s="7"/>
      <c r="I27" s="7" t="s">
        <v>426</v>
      </c>
      <c r="J27" s="22"/>
      <c r="K27" s="22"/>
      <c r="L27" s="21"/>
      <c r="M27" s="23" t="s">
        <v>419</v>
      </c>
      <c r="N27" s="7" t="s">
        <v>212</v>
      </c>
      <c r="O27" s="23" t="s">
        <v>420</v>
      </c>
    </row>
    <row r="28" customFormat="false" ht="40.5" hidden="false" customHeight="true" outlineLevel="0" collapsed="false">
      <c r="A28" s="19" t="s">
        <v>458</v>
      </c>
      <c r="B28" s="7" t="s">
        <v>130</v>
      </c>
      <c r="C28" s="7" t="s">
        <v>131</v>
      </c>
      <c r="D28" s="7" t="s">
        <v>21</v>
      </c>
      <c r="E28" s="7" t="s">
        <v>432</v>
      </c>
      <c r="F28" s="19" t="s">
        <v>416</v>
      </c>
      <c r="G28" s="21"/>
      <c r="H28" s="7"/>
      <c r="I28" s="7" t="s">
        <v>426</v>
      </c>
      <c r="J28" s="22"/>
      <c r="K28" s="22"/>
      <c r="L28" s="21"/>
      <c r="M28" s="23" t="s">
        <v>419</v>
      </c>
      <c r="N28" s="7" t="s">
        <v>214</v>
      </c>
      <c r="O28" s="23" t="s">
        <v>420</v>
      </c>
    </row>
    <row r="29" customFormat="false" ht="40.5" hidden="false" customHeight="true" outlineLevel="0" collapsed="false">
      <c r="A29" s="19" t="s">
        <v>459</v>
      </c>
      <c r="B29" s="7" t="s">
        <v>130</v>
      </c>
      <c r="C29" s="7" t="s">
        <v>131</v>
      </c>
      <c r="D29" s="7" t="s">
        <v>22</v>
      </c>
      <c r="E29" s="7" t="s">
        <v>434</v>
      </c>
      <c r="F29" s="19" t="s">
        <v>416</v>
      </c>
      <c r="G29" s="21"/>
      <c r="H29" s="7"/>
      <c r="I29" s="7" t="s">
        <v>426</v>
      </c>
      <c r="J29" s="22"/>
      <c r="K29" s="22"/>
      <c r="L29" s="21"/>
      <c r="M29" s="23" t="s">
        <v>419</v>
      </c>
      <c r="N29" s="7" t="s">
        <v>216</v>
      </c>
      <c r="O29" s="23" t="s">
        <v>420</v>
      </c>
    </row>
    <row r="30" customFormat="false" ht="40.5" hidden="false" customHeight="true" outlineLevel="0" collapsed="false">
      <c r="A30" s="19" t="s">
        <v>460</v>
      </c>
      <c r="B30" s="7" t="s">
        <v>130</v>
      </c>
      <c r="C30" s="7" t="s">
        <v>131</v>
      </c>
      <c r="D30" s="7" t="s">
        <v>23</v>
      </c>
      <c r="E30" s="7" t="s">
        <v>436</v>
      </c>
      <c r="F30" s="19" t="s">
        <v>437</v>
      </c>
      <c r="G30" s="21"/>
      <c r="H30" s="7"/>
      <c r="I30" s="7" t="s">
        <v>426</v>
      </c>
      <c r="J30" s="22"/>
      <c r="K30" s="22"/>
      <c r="L30" s="21"/>
      <c r="M30" s="23" t="s">
        <v>419</v>
      </c>
      <c r="N30" s="7" t="s">
        <v>218</v>
      </c>
      <c r="O30" s="23" t="s">
        <v>420</v>
      </c>
    </row>
    <row r="31" customFormat="false" ht="40.5" hidden="false" customHeight="true" outlineLevel="0" collapsed="false">
      <c r="A31" s="19" t="s">
        <v>461</v>
      </c>
      <c r="B31" s="7" t="s">
        <v>130</v>
      </c>
      <c r="C31" s="7" t="s">
        <v>131</v>
      </c>
      <c r="D31" s="7" t="s">
        <v>24</v>
      </c>
      <c r="E31" s="7" t="s">
        <v>439</v>
      </c>
      <c r="F31" s="19" t="s">
        <v>423</v>
      </c>
      <c r="G31" s="21"/>
      <c r="H31" s="7"/>
      <c r="I31" s="7" t="s">
        <v>426</v>
      </c>
      <c r="J31" s="22"/>
      <c r="K31" s="22"/>
      <c r="L31" s="21"/>
      <c r="M31" s="23" t="s">
        <v>419</v>
      </c>
      <c r="N31" s="7" t="s">
        <v>224</v>
      </c>
      <c r="O31" s="23" t="s">
        <v>420</v>
      </c>
    </row>
    <row r="32" customFormat="false" ht="40.5" hidden="false" customHeight="true" outlineLevel="0" collapsed="false">
      <c r="A32" s="19" t="s">
        <v>462</v>
      </c>
      <c r="B32" s="7" t="s">
        <v>135</v>
      </c>
      <c r="C32" s="7" t="s">
        <v>136</v>
      </c>
      <c r="D32" s="7" t="s">
        <v>16</v>
      </c>
      <c r="E32" s="7" t="s">
        <v>463</v>
      </c>
      <c r="F32" s="19" t="s">
        <v>416</v>
      </c>
      <c r="G32" s="21"/>
      <c r="H32" s="7" t="s">
        <v>417</v>
      </c>
      <c r="I32" s="7" t="s">
        <v>418</v>
      </c>
      <c r="J32" s="22"/>
      <c r="K32" s="22"/>
      <c r="L32" s="21"/>
      <c r="M32" s="23" t="s">
        <v>419</v>
      </c>
      <c r="N32" s="7" t="s">
        <v>194</v>
      </c>
      <c r="O32" s="23" t="s">
        <v>420</v>
      </c>
    </row>
    <row r="33" customFormat="false" ht="65.25" hidden="false" customHeight="true" outlineLevel="0" collapsed="false">
      <c r="A33" s="19" t="s">
        <v>464</v>
      </c>
      <c r="B33" s="7" t="s">
        <v>135</v>
      </c>
      <c r="C33" s="7" t="s">
        <v>136</v>
      </c>
      <c r="D33" s="7" t="s">
        <v>17</v>
      </c>
      <c r="E33" s="7" t="s">
        <v>422</v>
      </c>
      <c r="F33" s="19" t="s">
        <v>423</v>
      </c>
      <c r="G33" s="21"/>
      <c r="H33" s="7" t="s">
        <v>417</v>
      </c>
      <c r="I33" s="7" t="s">
        <v>418</v>
      </c>
      <c r="J33" s="22"/>
      <c r="K33" s="22"/>
      <c r="L33" s="21"/>
      <c r="M33" s="23" t="s">
        <v>419</v>
      </c>
      <c r="N33" s="7" t="s">
        <v>201</v>
      </c>
      <c r="O33" s="23" t="s">
        <v>420</v>
      </c>
    </row>
    <row r="34" customFormat="false" ht="40.5" hidden="false" customHeight="true" outlineLevel="0" collapsed="false">
      <c r="A34" s="19" t="s">
        <v>465</v>
      </c>
      <c r="B34" s="7" t="s">
        <v>135</v>
      </c>
      <c r="C34" s="7" t="s">
        <v>136</v>
      </c>
      <c r="D34" s="7" t="s">
        <v>18</v>
      </c>
      <c r="E34" s="7" t="s">
        <v>466</v>
      </c>
      <c r="F34" s="19" t="s">
        <v>416</v>
      </c>
      <c r="G34" s="21"/>
      <c r="H34" s="7"/>
      <c r="I34" s="7" t="s">
        <v>426</v>
      </c>
      <c r="J34" s="22"/>
      <c r="K34" s="22"/>
      <c r="L34" s="21"/>
      <c r="M34" s="23" t="s">
        <v>419</v>
      </c>
      <c r="N34" s="7" t="s">
        <v>206</v>
      </c>
      <c r="O34" s="23" t="s">
        <v>420</v>
      </c>
    </row>
    <row r="35" customFormat="false" ht="40.5" hidden="false" customHeight="true" outlineLevel="0" collapsed="false">
      <c r="A35" s="19" t="s">
        <v>467</v>
      </c>
      <c r="B35" s="7" t="s">
        <v>135</v>
      </c>
      <c r="C35" s="7" t="s">
        <v>136</v>
      </c>
      <c r="D35" s="7" t="s">
        <v>19</v>
      </c>
      <c r="E35" s="7" t="s">
        <v>428</v>
      </c>
      <c r="F35" s="19" t="s">
        <v>423</v>
      </c>
      <c r="G35" s="21"/>
      <c r="H35" s="7"/>
      <c r="I35" s="7" t="s">
        <v>426</v>
      </c>
      <c r="J35" s="22"/>
      <c r="K35" s="22"/>
      <c r="L35" s="21"/>
      <c r="M35" s="23" t="s">
        <v>419</v>
      </c>
      <c r="N35" s="7" t="s">
        <v>210</v>
      </c>
      <c r="O35" s="23" t="s">
        <v>420</v>
      </c>
    </row>
    <row r="36" customFormat="false" ht="40.5" hidden="false" customHeight="true" outlineLevel="0" collapsed="false">
      <c r="A36" s="19" t="s">
        <v>468</v>
      </c>
      <c r="B36" s="7" t="s">
        <v>135</v>
      </c>
      <c r="C36" s="7" t="s">
        <v>136</v>
      </c>
      <c r="D36" s="7" t="s">
        <v>20</v>
      </c>
      <c r="E36" s="7" t="s">
        <v>430</v>
      </c>
      <c r="F36" s="19" t="s">
        <v>416</v>
      </c>
      <c r="G36" s="21"/>
      <c r="H36" s="7"/>
      <c r="I36" s="7" t="s">
        <v>426</v>
      </c>
      <c r="J36" s="22"/>
      <c r="K36" s="22"/>
      <c r="L36" s="21"/>
      <c r="M36" s="23" t="s">
        <v>419</v>
      </c>
      <c r="N36" s="7" t="s">
        <v>212</v>
      </c>
      <c r="O36" s="23" t="s">
        <v>420</v>
      </c>
    </row>
    <row r="37" customFormat="false" ht="40.5" hidden="false" customHeight="true" outlineLevel="0" collapsed="false">
      <c r="A37" s="19" t="s">
        <v>469</v>
      </c>
      <c r="B37" s="7" t="s">
        <v>135</v>
      </c>
      <c r="C37" s="7" t="s">
        <v>136</v>
      </c>
      <c r="D37" s="7" t="s">
        <v>21</v>
      </c>
      <c r="E37" s="7" t="s">
        <v>432</v>
      </c>
      <c r="F37" s="19" t="s">
        <v>416</v>
      </c>
      <c r="G37" s="21"/>
      <c r="H37" s="7"/>
      <c r="I37" s="7" t="s">
        <v>426</v>
      </c>
      <c r="J37" s="22"/>
      <c r="K37" s="22"/>
      <c r="L37" s="21"/>
      <c r="M37" s="23" t="s">
        <v>419</v>
      </c>
      <c r="N37" s="7" t="s">
        <v>214</v>
      </c>
      <c r="O37" s="23" t="s">
        <v>420</v>
      </c>
    </row>
    <row r="38" customFormat="false" ht="40.5" hidden="false" customHeight="true" outlineLevel="0" collapsed="false">
      <c r="A38" s="19" t="s">
        <v>470</v>
      </c>
      <c r="B38" s="7" t="s">
        <v>135</v>
      </c>
      <c r="C38" s="7" t="s">
        <v>136</v>
      </c>
      <c r="D38" s="7" t="s">
        <v>22</v>
      </c>
      <c r="E38" s="7" t="s">
        <v>434</v>
      </c>
      <c r="F38" s="19" t="s">
        <v>416</v>
      </c>
      <c r="G38" s="21"/>
      <c r="H38" s="7"/>
      <c r="I38" s="7" t="s">
        <v>426</v>
      </c>
      <c r="J38" s="22"/>
      <c r="K38" s="22"/>
      <c r="L38" s="21"/>
      <c r="M38" s="23" t="s">
        <v>419</v>
      </c>
      <c r="N38" s="7" t="s">
        <v>216</v>
      </c>
      <c r="O38" s="23" t="s">
        <v>420</v>
      </c>
    </row>
    <row r="39" customFormat="false" ht="40.5" hidden="false" customHeight="true" outlineLevel="0" collapsed="false">
      <c r="A39" s="19" t="s">
        <v>471</v>
      </c>
      <c r="B39" s="7" t="s">
        <v>135</v>
      </c>
      <c r="C39" s="7" t="s">
        <v>136</v>
      </c>
      <c r="D39" s="7" t="s">
        <v>23</v>
      </c>
      <c r="E39" s="7" t="s">
        <v>436</v>
      </c>
      <c r="F39" s="19" t="s">
        <v>437</v>
      </c>
      <c r="G39" s="21"/>
      <c r="H39" s="7"/>
      <c r="I39" s="7" t="s">
        <v>426</v>
      </c>
      <c r="J39" s="22"/>
      <c r="K39" s="22"/>
      <c r="L39" s="21"/>
      <c r="M39" s="23" t="s">
        <v>419</v>
      </c>
      <c r="N39" s="7" t="s">
        <v>218</v>
      </c>
      <c r="O39" s="23" t="s">
        <v>420</v>
      </c>
    </row>
    <row r="40" customFormat="false" ht="40.5" hidden="false" customHeight="true" outlineLevel="0" collapsed="false">
      <c r="A40" s="19" t="s">
        <v>472</v>
      </c>
      <c r="B40" s="7" t="s">
        <v>135</v>
      </c>
      <c r="C40" s="7" t="s">
        <v>136</v>
      </c>
      <c r="D40" s="7" t="s">
        <v>24</v>
      </c>
      <c r="E40" s="7" t="s">
        <v>439</v>
      </c>
      <c r="F40" s="19" t="s">
        <v>423</v>
      </c>
      <c r="G40" s="21"/>
      <c r="H40" s="7"/>
      <c r="I40" s="7" t="s">
        <v>426</v>
      </c>
      <c r="J40" s="22"/>
      <c r="K40" s="22"/>
      <c r="L40" s="21"/>
      <c r="M40" s="23" t="s">
        <v>419</v>
      </c>
      <c r="N40" s="7" t="s">
        <v>224</v>
      </c>
      <c r="O40" s="23" t="s">
        <v>420</v>
      </c>
    </row>
    <row r="41" customFormat="false" ht="40.5" hidden="false" customHeight="true" outlineLevel="0" collapsed="false">
      <c r="A41" s="19" t="s">
        <v>473</v>
      </c>
      <c r="B41" s="7" t="s">
        <v>140</v>
      </c>
      <c r="C41" s="7" t="s">
        <v>141</v>
      </c>
      <c r="D41" s="7" t="s">
        <v>16</v>
      </c>
      <c r="E41" s="7" t="s">
        <v>474</v>
      </c>
      <c r="F41" s="19" t="s">
        <v>416</v>
      </c>
      <c r="G41" s="21"/>
      <c r="H41" s="7" t="s">
        <v>417</v>
      </c>
      <c r="I41" s="7" t="s">
        <v>418</v>
      </c>
      <c r="J41" s="22"/>
      <c r="K41" s="22"/>
      <c r="L41" s="21"/>
      <c r="M41" s="23" t="s">
        <v>419</v>
      </c>
      <c r="N41" s="7" t="s">
        <v>194</v>
      </c>
      <c r="O41" s="23" t="s">
        <v>420</v>
      </c>
    </row>
    <row r="42" customFormat="false" ht="65.25" hidden="false" customHeight="true" outlineLevel="0" collapsed="false">
      <c r="A42" s="19" t="s">
        <v>475</v>
      </c>
      <c r="B42" s="7" t="s">
        <v>140</v>
      </c>
      <c r="C42" s="7" t="s">
        <v>141</v>
      </c>
      <c r="D42" s="7" t="s">
        <v>17</v>
      </c>
      <c r="E42" s="7" t="s">
        <v>422</v>
      </c>
      <c r="F42" s="19" t="s">
        <v>423</v>
      </c>
      <c r="G42" s="21"/>
      <c r="H42" s="7" t="s">
        <v>417</v>
      </c>
      <c r="I42" s="7" t="s">
        <v>418</v>
      </c>
      <c r="J42" s="22"/>
      <c r="K42" s="22"/>
      <c r="L42" s="21"/>
      <c r="M42" s="23" t="s">
        <v>419</v>
      </c>
      <c r="N42" s="7" t="s">
        <v>201</v>
      </c>
      <c r="O42" s="23" t="s">
        <v>420</v>
      </c>
    </row>
    <row r="43" customFormat="false" ht="40.5" hidden="false" customHeight="true" outlineLevel="0" collapsed="false">
      <c r="A43" s="19" t="s">
        <v>476</v>
      </c>
      <c r="B43" s="7" t="s">
        <v>140</v>
      </c>
      <c r="C43" s="7" t="s">
        <v>141</v>
      </c>
      <c r="D43" s="7" t="s">
        <v>18</v>
      </c>
      <c r="E43" s="7" t="s">
        <v>477</v>
      </c>
      <c r="F43" s="19" t="s">
        <v>416</v>
      </c>
      <c r="G43" s="21"/>
      <c r="H43" s="7"/>
      <c r="I43" s="7" t="s">
        <v>426</v>
      </c>
      <c r="J43" s="22"/>
      <c r="K43" s="22"/>
      <c r="L43" s="21"/>
      <c r="M43" s="23" t="s">
        <v>419</v>
      </c>
      <c r="N43" s="7" t="s">
        <v>206</v>
      </c>
      <c r="O43" s="23" t="s">
        <v>420</v>
      </c>
    </row>
    <row r="44" customFormat="false" ht="40.5" hidden="false" customHeight="true" outlineLevel="0" collapsed="false">
      <c r="A44" s="19" t="s">
        <v>478</v>
      </c>
      <c r="B44" s="7" t="s">
        <v>140</v>
      </c>
      <c r="C44" s="7" t="s">
        <v>141</v>
      </c>
      <c r="D44" s="7" t="s">
        <v>19</v>
      </c>
      <c r="E44" s="7" t="s">
        <v>428</v>
      </c>
      <c r="F44" s="19" t="s">
        <v>423</v>
      </c>
      <c r="G44" s="21"/>
      <c r="H44" s="7"/>
      <c r="I44" s="7" t="s">
        <v>426</v>
      </c>
      <c r="J44" s="22"/>
      <c r="K44" s="22"/>
      <c r="L44" s="21"/>
      <c r="M44" s="23" t="s">
        <v>419</v>
      </c>
      <c r="N44" s="7" t="s">
        <v>210</v>
      </c>
      <c r="O44" s="23" t="s">
        <v>420</v>
      </c>
    </row>
    <row r="45" customFormat="false" ht="40.5" hidden="false" customHeight="true" outlineLevel="0" collapsed="false">
      <c r="A45" s="19" t="s">
        <v>479</v>
      </c>
      <c r="B45" s="7" t="s">
        <v>140</v>
      </c>
      <c r="C45" s="7" t="s">
        <v>141</v>
      </c>
      <c r="D45" s="7" t="s">
        <v>20</v>
      </c>
      <c r="E45" s="7" t="s">
        <v>430</v>
      </c>
      <c r="F45" s="19" t="s">
        <v>416</v>
      </c>
      <c r="G45" s="21"/>
      <c r="H45" s="7"/>
      <c r="I45" s="7" t="s">
        <v>426</v>
      </c>
      <c r="J45" s="22"/>
      <c r="K45" s="22"/>
      <c r="L45" s="21"/>
      <c r="M45" s="23" t="s">
        <v>419</v>
      </c>
      <c r="N45" s="7" t="s">
        <v>212</v>
      </c>
      <c r="O45" s="23" t="s">
        <v>420</v>
      </c>
    </row>
    <row r="46" customFormat="false" ht="40.5" hidden="false" customHeight="true" outlineLevel="0" collapsed="false">
      <c r="A46" s="19" t="s">
        <v>480</v>
      </c>
      <c r="B46" s="7" t="s">
        <v>140</v>
      </c>
      <c r="C46" s="7" t="s">
        <v>141</v>
      </c>
      <c r="D46" s="7" t="s">
        <v>21</v>
      </c>
      <c r="E46" s="7" t="s">
        <v>432</v>
      </c>
      <c r="F46" s="19" t="s">
        <v>416</v>
      </c>
      <c r="G46" s="21"/>
      <c r="H46" s="7"/>
      <c r="I46" s="7" t="s">
        <v>426</v>
      </c>
      <c r="J46" s="22"/>
      <c r="K46" s="22"/>
      <c r="L46" s="21"/>
      <c r="M46" s="23" t="s">
        <v>419</v>
      </c>
      <c r="N46" s="7" t="s">
        <v>214</v>
      </c>
      <c r="O46" s="23" t="s">
        <v>420</v>
      </c>
    </row>
    <row r="47" customFormat="false" ht="40.5" hidden="false" customHeight="true" outlineLevel="0" collapsed="false">
      <c r="A47" s="19" t="s">
        <v>481</v>
      </c>
      <c r="B47" s="7" t="s">
        <v>140</v>
      </c>
      <c r="C47" s="7" t="s">
        <v>141</v>
      </c>
      <c r="D47" s="7" t="s">
        <v>22</v>
      </c>
      <c r="E47" s="7" t="s">
        <v>434</v>
      </c>
      <c r="F47" s="19" t="s">
        <v>416</v>
      </c>
      <c r="G47" s="21"/>
      <c r="H47" s="7"/>
      <c r="I47" s="7" t="s">
        <v>426</v>
      </c>
      <c r="J47" s="22"/>
      <c r="K47" s="22"/>
      <c r="L47" s="21"/>
      <c r="M47" s="23" t="s">
        <v>419</v>
      </c>
      <c r="N47" s="7" t="s">
        <v>216</v>
      </c>
      <c r="O47" s="23" t="s">
        <v>420</v>
      </c>
    </row>
    <row r="48" customFormat="false" ht="40.5" hidden="false" customHeight="true" outlineLevel="0" collapsed="false">
      <c r="A48" s="19" t="s">
        <v>482</v>
      </c>
      <c r="B48" s="7" t="s">
        <v>140</v>
      </c>
      <c r="C48" s="7" t="s">
        <v>141</v>
      </c>
      <c r="D48" s="7" t="s">
        <v>23</v>
      </c>
      <c r="E48" s="7" t="s">
        <v>436</v>
      </c>
      <c r="F48" s="19" t="s">
        <v>437</v>
      </c>
      <c r="G48" s="21"/>
      <c r="H48" s="7"/>
      <c r="I48" s="7" t="s">
        <v>426</v>
      </c>
      <c r="J48" s="22"/>
      <c r="K48" s="22"/>
      <c r="L48" s="21"/>
      <c r="M48" s="23" t="s">
        <v>419</v>
      </c>
      <c r="N48" s="7" t="s">
        <v>218</v>
      </c>
      <c r="O48" s="23" t="s">
        <v>420</v>
      </c>
    </row>
    <row r="49" customFormat="false" ht="40.5" hidden="false" customHeight="true" outlineLevel="0" collapsed="false">
      <c r="A49" s="19" t="s">
        <v>483</v>
      </c>
      <c r="B49" s="7" t="s">
        <v>140</v>
      </c>
      <c r="C49" s="7" t="s">
        <v>141</v>
      </c>
      <c r="D49" s="7" t="s">
        <v>24</v>
      </c>
      <c r="E49" s="7" t="s">
        <v>439</v>
      </c>
      <c r="F49" s="19" t="s">
        <v>423</v>
      </c>
      <c r="G49" s="21"/>
      <c r="H49" s="7"/>
      <c r="I49" s="7" t="s">
        <v>426</v>
      </c>
      <c r="J49" s="22"/>
      <c r="K49" s="22"/>
      <c r="L49" s="21"/>
      <c r="M49" s="23" t="s">
        <v>419</v>
      </c>
      <c r="N49" s="7" t="s">
        <v>224</v>
      </c>
      <c r="O49" s="23" t="s">
        <v>420</v>
      </c>
    </row>
    <row r="50" customFormat="false" ht="40.5" hidden="false" customHeight="true" outlineLevel="0" collapsed="false">
      <c r="A50" s="19" t="s">
        <v>484</v>
      </c>
      <c r="B50" s="7" t="s">
        <v>144</v>
      </c>
      <c r="C50" s="7" t="s">
        <v>145</v>
      </c>
      <c r="D50" s="7" t="s">
        <v>16</v>
      </c>
      <c r="E50" s="7" t="s">
        <v>485</v>
      </c>
      <c r="F50" s="19" t="s">
        <v>416</v>
      </c>
      <c r="G50" s="21"/>
      <c r="H50" s="7" t="s">
        <v>417</v>
      </c>
      <c r="I50" s="7" t="s">
        <v>418</v>
      </c>
      <c r="J50" s="22"/>
      <c r="K50" s="22"/>
      <c r="L50" s="21"/>
      <c r="M50" s="23" t="s">
        <v>419</v>
      </c>
      <c r="N50" s="7" t="s">
        <v>194</v>
      </c>
      <c r="O50" s="23" t="s">
        <v>420</v>
      </c>
    </row>
    <row r="51" customFormat="false" ht="65.25" hidden="false" customHeight="true" outlineLevel="0" collapsed="false">
      <c r="A51" s="19" t="s">
        <v>486</v>
      </c>
      <c r="B51" s="7" t="s">
        <v>144</v>
      </c>
      <c r="C51" s="7" t="s">
        <v>145</v>
      </c>
      <c r="D51" s="7" t="s">
        <v>17</v>
      </c>
      <c r="E51" s="7" t="s">
        <v>422</v>
      </c>
      <c r="F51" s="19" t="s">
        <v>423</v>
      </c>
      <c r="G51" s="21"/>
      <c r="H51" s="7" t="s">
        <v>417</v>
      </c>
      <c r="I51" s="7" t="s">
        <v>418</v>
      </c>
      <c r="J51" s="22"/>
      <c r="K51" s="22"/>
      <c r="L51" s="21"/>
      <c r="M51" s="23" t="s">
        <v>419</v>
      </c>
      <c r="N51" s="7" t="s">
        <v>201</v>
      </c>
      <c r="O51" s="23" t="s">
        <v>420</v>
      </c>
    </row>
    <row r="52" customFormat="false" ht="40.5" hidden="false" customHeight="true" outlineLevel="0" collapsed="false">
      <c r="A52" s="19" t="s">
        <v>487</v>
      </c>
      <c r="B52" s="7" t="s">
        <v>144</v>
      </c>
      <c r="C52" s="7" t="s">
        <v>145</v>
      </c>
      <c r="D52" s="7" t="s">
        <v>18</v>
      </c>
      <c r="E52" s="7" t="s">
        <v>488</v>
      </c>
      <c r="F52" s="19" t="s">
        <v>416</v>
      </c>
      <c r="G52" s="21"/>
      <c r="H52" s="7" t="s">
        <v>489</v>
      </c>
      <c r="I52" s="7" t="s">
        <v>490</v>
      </c>
      <c r="J52" s="22"/>
      <c r="K52" s="22"/>
      <c r="L52" s="21"/>
      <c r="M52" s="23" t="s">
        <v>419</v>
      </c>
      <c r="N52" s="7" t="s">
        <v>206</v>
      </c>
      <c r="O52" s="23" t="s">
        <v>420</v>
      </c>
    </row>
    <row r="53" customFormat="false" ht="27.75" hidden="false" customHeight="true" outlineLevel="0" collapsed="false">
      <c r="A53" s="19" t="s">
        <v>491</v>
      </c>
      <c r="B53" s="7" t="s">
        <v>144</v>
      </c>
      <c r="C53" s="7" t="s">
        <v>145</v>
      </c>
      <c r="D53" s="7" t="s">
        <v>19</v>
      </c>
      <c r="E53" s="7" t="s">
        <v>428</v>
      </c>
      <c r="F53" s="19" t="s">
        <v>423</v>
      </c>
      <c r="G53" s="21"/>
      <c r="H53" s="7" t="s">
        <v>489</v>
      </c>
      <c r="I53" s="7" t="s">
        <v>490</v>
      </c>
      <c r="J53" s="22"/>
      <c r="K53" s="22"/>
      <c r="L53" s="21"/>
      <c r="M53" s="23" t="s">
        <v>419</v>
      </c>
      <c r="N53" s="7" t="s">
        <v>210</v>
      </c>
      <c r="O53" s="23" t="s">
        <v>420</v>
      </c>
    </row>
    <row r="54" customFormat="false" ht="40.5" hidden="false" customHeight="true" outlineLevel="0" collapsed="false">
      <c r="A54" s="19" t="s">
        <v>492</v>
      </c>
      <c r="B54" s="7" t="s">
        <v>144</v>
      </c>
      <c r="C54" s="7" t="s">
        <v>145</v>
      </c>
      <c r="D54" s="7" t="s">
        <v>20</v>
      </c>
      <c r="E54" s="7" t="s">
        <v>430</v>
      </c>
      <c r="F54" s="19" t="s">
        <v>416</v>
      </c>
      <c r="G54" s="21"/>
      <c r="H54" s="7" t="s">
        <v>489</v>
      </c>
      <c r="I54" s="7" t="s">
        <v>490</v>
      </c>
      <c r="J54" s="22"/>
      <c r="K54" s="22"/>
      <c r="L54" s="21"/>
      <c r="M54" s="23" t="s">
        <v>419</v>
      </c>
      <c r="N54" s="7" t="s">
        <v>212</v>
      </c>
      <c r="O54" s="23" t="s">
        <v>420</v>
      </c>
    </row>
    <row r="55" customFormat="false" ht="40.5" hidden="false" customHeight="true" outlineLevel="0" collapsed="false">
      <c r="A55" s="19" t="s">
        <v>493</v>
      </c>
      <c r="B55" s="7" t="s">
        <v>144</v>
      </c>
      <c r="C55" s="7" t="s">
        <v>145</v>
      </c>
      <c r="D55" s="7" t="s">
        <v>21</v>
      </c>
      <c r="E55" s="7" t="s">
        <v>432</v>
      </c>
      <c r="F55" s="19" t="s">
        <v>416</v>
      </c>
      <c r="G55" s="21"/>
      <c r="H55" s="7" t="s">
        <v>489</v>
      </c>
      <c r="I55" s="7" t="s">
        <v>490</v>
      </c>
      <c r="J55" s="22"/>
      <c r="K55" s="22"/>
      <c r="L55" s="21"/>
      <c r="M55" s="23" t="s">
        <v>419</v>
      </c>
      <c r="N55" s="7" t="s">
        <v>214</v>
      </c>
      <c r="O55" s="23" t="s">
        <v>420</v>
      </c>
    </row>
    <row r="56" customFormat="false" ht="27.75" hidden="false" customHeight="true" outlineLevel="0" collapsed="false">
      <c r="A56" s="19" t="s">
        <v>494</v>
      </c>
      <c r="B56" s="7" t="s">
        <v>144</v>
      </c>
      <c r="C56" s="7" t="s">
        <v>145</v>
      </c>
      <c r="D56" s="7" t="s">
        <v>22</v>
      </c>
      <c r="E56" s="7" t="s">
        <v>434</v>
      </c>
      <c r="F56" s="19" t="s">
        <v>416</v>
      </c>
      <c r="G56" s="21"/>
      <c r="H56" s="7" t="s">
        <v>489</v>
      </c>
      <c r="I56" s="7" t="s">
        <v>490</v>
      </c>
      <c r="J56" s="22"/>
      <c r="K56" s="22"/>
      <c r="L56" s="21"/>
      <c r="M56" s="23" t="s">
        <v>419</v>
      </c>
      <c r="N56" s="7" t="s">
        <v>216</v>
      </c>
      <c r="O56" s="23" t="s">
        <v>420</v>
      </c>
    </row>
    <row r="57" customFormat="false" ht="27.75" hidden="false" customHeight="true" outlineLevel="0" collapsed="false">
      <c r="A57" s="19" t="s">
        <v>495</v>
      </c>
      <c r="B57" s="7" t="s">
        <v>144</v>
      </c>
      <c r="C57" s="7" t="s">
        <v>145</v>
      </c>
      <c r="D57" s="7" t="s">
        <v>23</v>
      </c>
      <c r="E57" s="7" t="s">
        <v>436</v>
      </c>
      <c r="F57" s="19" t="s">
        <v>437</v>
      </c>
      <c r="G57" s="21"/>
      <c r="H57" s="7" t="s">
        <v>489</v>
      </c>
      <c r="I57" s="7" t="s">
        <v>490</v>
      </c>
      <c r="J57" s="22"/>
      <c r="K57" s="22"/>
      <c r="L57" s="21"/>
      <c r="M57" s="23" t="s">
        <v>419</v>
      </c>
      <c r="N57" s="7" t="s">
        <v>218</v>
      </c>
      <c r="O57" s="23" t="s">
        <v>420</v>
      </c>
    </row>
    <row r="58" customFormat="false" ht="40.5" hidden="false" customHeight="true" outlineLevel="0" collapsed="false">
      <c r="A58" s="19" t="s">
        <v>496</v>
      </c>
      <c r="B58" s="7" t="s">
        <v>144</v>
      </c>
      <c r="C58" s="7" t="s">
        <v>145</v>
      </c>
      <c r="D58" s="7" t="s">
        <v>24</v>
      </c>
      <c r="E58" s="7" t="s">
        <v>439</v>
      </c>
      <c r="F58" s="19" t="s">
        <v>423</v>
      </c>
      <c r="G58" s="21"/>
      <c r="H58" s="7" t="s">
        <v>489</v>
      </c>
      <c r="I58" s="7" t="s">
        <v>490</v>
      </c>
      <c r="J58" s="22"/>
      <c r="K58" s="22"/>
      <c r="L58" s="21"/>
      <c r="M58" s="23" t="s">
        <v>419</v>
      </c>
      <c r="N58" s="7" t="s">
        <v>224</v>
      </c>
      <c r="O58" s="23" t="s">
        <v>420</v>
      </c>
    </row>
    <row r="59" customFormat="false" ht="40.5" hidden="false" customHeight="true" outlineLevel="0" collapsed="false">
      <c r="A59" s="19" t="s">
        <v>497</v>
      </c>
      <c r="B59" s="7" t="s">
        <v>150</v>
      </c>
      <c r="C59" s="7" t="s">
        <v>151</v>
      </c>
      <c r="D59" s="7" t="s">
        <v>16</v>
      </c>
      <c r="E59" s="7" t="s">
        <v>498</v>
      </c>
      <c r="F59" s="19" t="s">
        <v>416</v>
      </c>
      <c r="G59" s="21"/>
      <c r="H59" s="7" t="s">
        <v>417</v>
      </c>
      <c r="I59" s="7" t="s">
        <v>418</v>
      </c>
      <c r="J59" s="22"/>
      <c r="K59" s="22"/>
      <c r="L59" s="21"/>
      <c r="M59" s="23" t="s">
        <v>419</v>
      </c>
      <c r="N59" s="7" t="s">
        <v>194</v>
      </c>
      <c r="O59" s="23" t="s">
        <v>420</v>
      </c>
    </row>
    <row r="60" customFormat="false" ht="65.25" hidden="false" customHeight="true" outlineLevel="0" collapsed="false">
      <c r="A60" s="19" t="s">
        <v>499</v>
      </c>
      <c r="B60" s="7" t="s">
        <v>150</v>
      </c>
      <c r="C60" s="7" t="s">
        <v>151</v>
      </c>
      <c r="D60" s="7" t="s">
        <v>17</v>
      </c>
      <c r="E60" s="7" t="s">
        <v>422</v>
      </c>
      <c r="F60" s="19" t="s">
        <v>423</v>
      </c>
      <c r="G60" s="21"/>
      <c r="H60" s="7" t="s">
        <v>417</v>
      </c>
      <c r="I60" s="7" t="s">
        <v>418</v>
      </c>
      <c r="J60" s="22"/>
      <c r="K60" s="22"/>
      <c r="L60" s="21"/>
      <c r="M60" s="23" t="s">
        <v>419</v>
      </c>
      <c r="N60" s="7" t="s">
        <v>201</v>
      </c>
      <c r="O60" s="23" t="s">
        <v>420</v>
      </c>
    </row>
    <row r="61" customFormat="false" ht="40.5" hidden="false" customHeight="true" outlineLevel="0" collapsed="false">
      <c r="A61" s="19" t="s">
        <v>500</v>
      </c>
      <c r="B61" s="7" t="s">
        <v>150</v>
      </c>
      <c r="C61" s="7" t="s">
        <v>151</v>
      </c>
      <c r="D61" s="7" t="s">
        <v>18</v>
      </c>
      <c r="E61" s="7" t="s">
        <v>501</v>
      </c>
      <c r="F61" s="19" t="s">
        <v>416</v>
      </c>
      <c r="G61" s="21"/>
      <c r="H61" s="7"/>
      <c r="I61" s="7" t="s">
        <v>426</v>
      </c>
      <c r="J61" s="22"/>
      <c r="K61" s="22"/>
      <c r="L61" s="21"/>
      <c r="M61" s="23" t="s">
        <v>419</v>
      </c>
      <c r="N61" s="7" t="s">
        <v>206</v>
      </c>
      <c r="O61" s="23" t="s">
        <v>420</v>
      </c>
    </row>
    <row r="62" customFormat="false" ht="40.5" hidden="false" customHeight="true" outlineLevel="0" collapsed="false">
      <c r="A62" s="19" t="s">
        <v>502</v>
      </c>
      <c r="B62" s="7" t="s">
        <v>150</v>
      </c>
      <c r="C62" s="7" t="s">
        <v>151</v>
      </c>
      <c r="D62" s="7" t="s">
        <v>19</v>
      </c>
      <c r="E62" s="7" t="s">
        <v>428</v>
      </c>
      <c r="F62" s="19" t="s">
        <v>423</v>
      </c>
      <c r="G62" s="21"/>
      <c r="H62" s="7"/>
      <c r="I62" s="7" t="s">
        <v>426</v>
      </c>
      <c r="J62" s="22"/>
      <c r="K62" s="22"/>
      <c r="L62" s="21"/>
      <c r="M62" s="23" t="s">
        <v>419</v>
      </c>
      <c r="N62" s="7" t="s">
        <v>210</v>
      </c>
      <c r="O62" s="23" t="s">
        <v>420</v>
      </c>
    </row>
    <row r="63" customFormat="false" ht="40.5" hidden="false" customHeight="true" outlineLevel="0" collapsed="false">
      <c r="A63" s="19" t="s">
        <v>503</v>
      </c>
      <c r="B63" s="7" t="s">
        <v>150</v>
      </c>
      <c r="C63" s="7" t="s">
        <v>151</v>
      </c>
      <c r="D63" s="7" t="s">
        <v>20</v>
      </c>
      <c r="E63" s="7" t="s">
        <v>430</v>
      </c>
      <c r="F63" s="19" t="s">
        <v>416</v>
      </c>
      <c r="G63" s="21"/>
      <c r="H63" s="7"/>
      <c r="I63" s="7" t="s">
        <v>426</v>
      </c>
      <c r="J63" s="22"/>
      <c r="K63" s="22"/>
      <c r="L63" s="21"/>
      <c r="M63" s="23" t="s">
        <v>419</v>
      </c>
      <c r="N63" s="7" t="s">
        <v>212</v>
      </c>
      <c r="O63" s="23" t="s">
        <v>420</v>
      </c>
    </row>
    <row r="64" customFormat="false" ht="40.5" hidden="false" customHeight="true" outlineLevel="0" collapsed="false">
      <c r="A64" s="19" t="s">
        <v>504</v>
      </c>
      <c r="B64" s="7" t="s">
        <v>150</v>
      </c>
      <c r="C64" s="7" t="s">
        <v>151</v>
      </c>
      <c r="D64" s="7" t="s">
        <v>21</v>
      </c>
      <c r="E64" s="7" t="s">
        <v>432</v>
      </c>
      <c r="F64" s="19" t="s">
        <v>416</v>
      </c>
      <c r="G64" s="21"/>
      <c r="H64" s="7"/>
      <c r="I64" s="7" t="s">
        <v>426</v>
      </c>
      <c r="J64" s="22"/>
      <c r="K64" s="22"/>
      <c r="L64" s="21"/>
      <c r="M64" s="23" t="s">
        <v>419</v>
      </c>
      <c r="N64" s="7" t="s">
        <v>214</v>
      </c>
      <c r="O64" s="23" t="s">
        <v>420</v>
      </c>
    </row>
    <row r="65" customFormat="false" ht="40.5" hidden="false" customHeight="true" outlineLevel="0" collapsed="false">
      <c r="A65" s="19" t="s">
        <v>505</v>
      </c>
      <c r="B65" s="7" t="s">
        <v>150</v>
      </c>
      <c r="C65" s="7" t="s">
        <v>151</v>
      </c>
      <c r="D65" s="7" t="s">
        <v>22</v>
      </c>
      <c r="E65" s="7" t="s">
        <v>434</v>
      </c>
      <c r="F65" s="19" t="s">
        <v>416</v>
      </c>
      <c r="G65" s="21"/>
      <c r="H65" s="7"/>
      <c r="I65" s="7" t="s">
        <v>426</v>
      </c>
      <c r="J65" s="22"/>
      <c r="K65" s="22"/>
      <c r="L65" s="21"/>
      <c r="M65" s="23" t="s">
        <v>419</v>
      </c>
      <c r="N65" s="7" t="s">
        <v>216</v>
      </c>
      <c r="O65" s="23" t="s">
        <v>420</v>
      </c>
    </row>
    <row r="66" customFormat="false" ht="40.5" hidden="false" customHeight="true" outlineLevel="0" collapsed="false">
      <c r="A66" s="19" t="s">
        <v>506</v>
      </c>
      <c r="B66" s="7" t="s">
        <v>150</v>
      </c>
      <c r="C66" s="7" t="s">
        <v>151</v>
      </c>
      <c r="D66" s="7" t="s">
        <v>23</v>
      </c>
      <c r="E66" s="7" t="s">
        <v>436</v>
      </c>
      <c r="F66" s="19" t="s">
        <v>437</v>
      </c>
      <c r="G66" s="21"/>
      <c r="H66" s="7"/>
      <c r="I66" s="7" t="s">
        <v>426</v>
      </c>
      <c r="J66" s="22"/>
      <c r="K66" s="22"/>
      <c r="L66" s="21"/>
      <c r="M66" s="23" t="s">
        <v>419</v>
      </c>
      <c r="N66" s="7" t="s">
        <v>218</v>
      </c>
      <c r="O66" s="23" t="s">
        <v>420</v>
      </c>
    </row>
    <row r="67" customFormat="false" ht="40.5" hidden="false" customHeight="true" outlineLevel="0" collapsed="false">
      <c r="A67" s="19" t="s">
        <v>507</v>
      </c>
      <c r="B67" s="7" t="s">
        <v>150</v>
      </c>
      <c r="C67" s="7" t="s">
        <v>151</v>
      </c>
      <c r="D67" s="7" t="s">
        <v>24</v>
      </c>
      <c r="E67" s="7" t="s">
        <v>439</v>
      </c>
      <c r="F67" s="19" t="s">
        <v>423</v>
      </c>
      <c r="G67" s="21"/>
      <c r="H67" s="7"/>
      <c r="I67" s="7" t="s">
        <v>426</v>
      </c>
      <c r="J67" s="22"/>
      <c r="K67" s="22"/>
      <c r="L67" s="21"/>
      <c r="M67" s="23" t="s">
        <v>419</v>
      </c>
      <c r="N67" s="7" t="s">
        <v>224</v>
      </c>
      <c r="O67" s="23" t="s">
        <v>420</v>
      </c>
    </row>
    <row r="68" customFormat="false" ht="40.5" hidden="false" customHeight="true" outlineLevel="0" collapsed="false">
      <c r="A68" s="19" t="s">
        <v>508</v>
      </c>
      <c r="B68" s="7" t="s">
        <v>155</v>
      </c>
      <c r="C68" s="7" t="s">
        <v>156</v>
      </c>
      <c r="D68" s="7" t="s">
        <v>16</v>
      </c>
      <c r="E68" s="7" t="s">
        <v>509</v>
      </c>
      <c r="F68" s="19" t="s">
        <v>416</v>
      </c>
      <c r="G68" s="21"/>
      <c r="H68" s="7" t="s">
        <v>417</v>
      </c>
      <c r="I68" s="7" t="s">
        <v>418</v>
      </c>
      <c r="J68" s="22"/>
      <c r="K68" s="22"/>
      <c r="L68" s="21"/>
      <c r="M68" s="23" t="s">
        <v>419</v>
      </c>
      <c r="N68" s="7" t="s">
        <v>194</v>
      </c>
      <c r="O68" s="23" t="s">
        <v>420</v>
      </c>
    </row>
    <row r="69" customFormat="false" ht="65.25" hidden="false" customHeight="true" outlineLevel="0" collapsed="false">
      <c r="A69" s="19" t="s">
        <v>510</v>
      </c>
      <c r="B69" s="7" t="s">
        <v>155</v>
      </c>
      <c r="C69" s="7" t="s">
        <v>156</v>
      </c>
      <c r="D69" s="7" t="s">
        <v>17</v>
      </c>
      <c r="E69" s="7" t="s">
        <v>422</v>
      </c>
      <c r="F69" s="19" t="s">
        <v>423</v>
      </c>
      <c r="G69" s="21"/>
      <c r="H69" s="7" t="s">
        <v>417</v>
      </c>
      <c r="I69" s="7" t="s">
        <v>418</v>
      </c>
      <c r="J69" s="22"/>
      <c r="K69" s="22"/>
      <c r="L69" s="21"/>
      <c r="M69" s="23" t="s">
        <v>419</v>
      </c>
      <c r="N69" s="7" t="s">
        <v>201</v>
      </c>
      <c r="O69" s="23" t="s">
        <v>420</v>
      </c>
    </row>
    <row r="70" customFormat="false" ht="40.5" hidden="false" customHeight="true" outlineLevel="0" collapsed="false">
      <c r="A70" s="19" t="s">
        <v>511</v>
      </c>
      <c r="B70" s="7" t="s">
        <v>155</v>
      </c>
      <c r="C70" s="7" t="s">
        <v>156</v>
      </c>
      <c r="D70" s="7" t="s">
        <v>18</v>
      </c>
      <c r="E70" s="7" t="s">
        <v>512</v>
      </c>
      <c r="F70" s="19" t="s">
        <v>416</v>
      </c>
      <c r="G70" s="21"/>
      <c r="H70" s="7" t="s">
        <v>513</v>
      </c>
      <c r="I70" s="7" t="s">
        <v>514</v>
      </c>
      <c r="J70" s="22"/>
      <c r="K70" s="22"/>
      <c r="L70" s="21"/>
      <c r="M70" s="23" t="s">
        <v>419</v>
      </c>
      <c r="N70" s="7" t="s">
        <v>206</v>
      </c>
      <c r="O70" s="23" t="s">
        <v>420</v>
      </c>
    </row>
    <row r="71" customFormat="false" ht="27.75" hidden="false" customHeight="true" outlineLevel="0" collapsed="false">
      <c r="A71" s="19" t="s">
        <v>515</v>
      </c>
      <c r="B71" s="7" t="s">
        <v>155</v>
      </c>
      <c r="C71" s="7" t="s">
        <v>156</v>
      </c>
      <c r="D71" s="7" t="s">
        <v>19</v>
      </c>
      <c r="E71" s="7" t="s">
        <v>428</v>
      </c>
      <c r="F71" s="19" t="s">
        <v>423</v>
      </c>
      <c r="G71" s="21"/>
      <c r="H71" s="7" t="s">
        <v>513</v>
      </c>
      <c r="I71" s="7" t="s">
        <v>514</v>
      </c>
      <c r="J71" s="22"/>
      <c r="K71" s="22"/>
      <c r="L71" s="21"/>
      <c r="M71" s="23" t="s">
        <v>419</v>
      </c>
      <c r="N71" s="7" t="s">
        <v>210</v>
      </c>
      <c r="O71" s="23" t="s">
        <v>420</v>
      </c>
    </row>
    <row r="72" customFormat="false" ht="40.5" hidden="false" customHeight="true" outlineLevel="0" collapsed="false">
      <c r="A72" s="19" t="s">
        <v>516</v>
      </c>
      <c r="B72" s="7" t="s">
        <v>155</v>
      </c>
      <c r="C72" s="7" t="s">
        <v>156</v>
      </c>
      <c r="D72" s="7" t="s">
        <v>20</v>
      </c>
      <c r="E72" s="7" t="s">
        <v>430</v>
      </c>
      <c r="F72" s="19" t="s">
        <v>416</v>
      </c>
      <c r="G72" s="21"/>
      <c r="H72" s="7" t="s">
        <v>513</v>
      </c>
      <c r="I72" s="7" t="s">
        <v>514</v>
      </c>
      <c r="J72" s="22"/>
      <c r="K72" s="22"/>
      <c r="L72" s="21"/>
      <c r="M72" s="23" t="s">
        <v>419</v>
      </c>
      <c r="N72" s="7" t="s">
        <v>212</v>
      </c>
      <c r="O72" s="23" t="s">
        <v>420</v>
      </c>
    </row>
    <row r="73" customFormat="false" ht="40.5" hidden="false" customHeight="true" outlineLevel="0" collapsed="false">
      <c r="A73" s="19" t="s">
        <v>517</v>
      </c>
      <c r="B73" s="7" t="s">
        <v>155</v>
      </c>
      <c r="C73" s="7" t="s">
        <v>156</v>
      </c>
      <c r="D73" s="7" t="s">
        <v>21</v>
      </c>
      <c r="E73" s="7" t="s">
        <v>432</v>
      </c>
      <c r="F73" s="19" t="s">
        <v>416</v>
      </c>
      <c r="G73" s="21"/>
      <c r="H73" s="7" t="s">
        <v>513</v>
      </c>
      <c r="I73" s="7" t="s">
        <v>514</v>
      </c>
      <c r="J73" s="22"/>
      <c r="K73" s="22"/>
      <c r="L73" s="21"/>
      <c r="M73" s="23" t="s">
        <v>419</v>
      </c>
      <c r="N73" s="7" t="s">
        <v>214</v>
      </c>
      <c r="O73" s="23" t="s">
        <v>420</v>
      </c>
    </row>
    <row r="74" customFormat="false" ht="27.75" hidden="false" customHeight="true" outlineLevel="0" collapsed="false">
      <c r="A74" s="19" t="s">
        <v>518</v>
      </c>
      <c r="B74" s="7" t="s">
        <v>155</v>
      </c>
      <c r="C74" s="7" t="s">
        <v>156</v>
      </c>
      <c r="D74" s="7" t="s">
        <v>22</v>
      </c>
      <c r="E74" s="7" t="s">
        <v>434</v>
      </c>
      <c r="F74" s="19" t="s">
        <v>416</v>
      </c>
      <c r="G74" s="21"/>
      <c r="H74" s="7" t="s">
        <v>513</v>
      </c>
      <c r="I74" s="7" t="s">
        <v>514</v>
      </c>
      <c r="J74" s="22"/>
      <c r="K74" s="22"/>
      <c r="L74" s="21"/>
      <c r="M74" s="23" t="s">
        <v>419</v>
      </c>
      <c r="N74" s="7" t="s">
        <v>216</v>
      </c>
      <c r="O74" s="23" t="s">
        <v>420</v>
      </c>
    </row>
    <row r="75" customFormat="false" ht="27.75" hidden="false" customHeight="true" outlineLevel="0" collapsed="false">
      <c r="A75" s="19" t="s">
        <v>519</v>
      </c>
      <c r="B75" s="7" t="s">
        <v>155</v>
      </c>
      <c r="C75" s="7" t="s">
        <v>156</v>
      </c>
      <c r="D75" s="7" t="s">
        <v>23</v>
      </c>
      <c r="E75" s="7" t="s">
        <v>436</v>
      </c>
      <c r="F75" s="19" t="s">
        <v>437</v>
      </c>
      <c r="G75" s="21"/>
      <c r="H75" s="7" t="s">
        <v>513</v>
      </c>
      <c r="I75" s="7" t="s">
        <v>514</v>
      </c>
      <c r="J75" s="22"/>
      <c r="K75" s="22"/>
      <c r="L75" s="21"/>
      <c r="M75" s="23" t="s">
        <v>419</v>
      </c>
      <c r="N75" s="7" t="s">
        <v>218</v>
      </c>
      <c r="O75" s="23" t="s">
        <v>420</v>
      </c>
    </row>
    <row r="76" customFormat="false" ht="40.5" hidden="false" customHeight="true" outlineLevel="0" collapsed="false">
      <c r="A76" s="19" t="s">
        <v>520</v>
      </c>
      <c r="B76" s="7" t="s">
        <v>155</v>
      </c>
      <c r="C76" s="7" t="s">
        <v>156</v>
      </c>
      <c r="D76" s="7" t="s">
        <v>24</v>
      </c>
      <c r="E76" s="7" t="s">
        <v>439</v>
      </c>
      <c r="F76" s="19" t="s">
        <v>423</v>
      </c>
      <c r="G76" s="21"/>
      <c r="H76" s="7" t="s">
        <v>513</v>
      </c>
      <c r="I76" s="7" t="s">
        <v>514</v>
      </c>
      <c r="J76" s="22"/>
      <c r="K76" s="22"/>
      <c r="L76" s="21"/>
      <c r="M76" s="23" t="s">
        <v>419</v>
      </c>
      <c r="N76" s="7" t="s">
        <v>224</v>
      </c>
      <c r="O76" s="23" t="s">
        <v>420</v>
      </c>
    </row>
    <row r="77" customFormat="false" ht="40.5" hidden="false" customHeight="true" outlineLevel="0" collapsed="false">
      <c r="A77" s="19" t="s">
        <v>521</v>
      </c>
      <c r="B77" s="7" t="s">
        <v>160</v>
      </c>
      <c r="C77" s="7" t="s">
        <v>161</v>
      </c>
      <c r="D77" s="7" t="s">
        <v>16</v>
      </c>
      <c r="E77" s="7" t="s">
        <v>522</v>
      </c>
      <c r="F77" s="19" t="s">
        <v>416</v>
      </c>
      <c r="G77" s="21"/>
      <c r="H77" s="7" t="s">
        <v>417</v>
      </c>
      <c r="I77" s="7" t="s">
        <v>418</v>
      </c>
      <c r="J77" s="22"/>
      <c r="K77" s="22"/>
      <c r="L77" s="21"/>
      <c r="M77" s="23" t="s">
        <v>419</v>
      </c>
      <c r="N77" s="7" t="s">
        <v>194</v>
      </c>
      <c r="O77" s="23" t="s">
        <v>420</v>
      </c>
    </row>
    <row r="78" customFormat="false" ht="65.25" hidden="false" customHeight="true" outlineLevel="0" collapsed="false">
      <c r="A78" s="19" t="s">
        <v>523</v>
      </c>
      <c r="B78" s="7" t="s">
        <v>160</v>
      </c>
      <c r="C78" s="7" t="s">
        <v>161</v>
      </c>
      <c r="D78" s="7" t="s">
        <v>17</v>
      </c>
      <c r="E78" s="7" t="s">
        <v>422</v>
      </c>
      <c r="F78" s="19" t="s">
        <v>423</v>
      </c>
      <c r="G78" s="21"/>
      <c r="H78" s="7" t="s">
        <v>417</v>
      </c>
      <c r="I78" s="7" t="s">
        <v>418</v>
      </c>
      <c r="J78" s="22"/>
      <c r="K78" s="22"/>
      <c r="L78" s="21"/>
      <c r="M78" s="23" t="s">
        <v>419</v>
      </c>
      <c r="N78" s="7" t="s">
        <v>201</v>
      </c>
      <c r="O78" s="23" t="s">
        <v>420</v>
      </c>
    </row>
    <row r="79" customFormat="false" ht="40.5" hidden="false" customHeight="true" outlineLevel="0" collapsed="false">
      <c r="A79" s="19" t="s">
        <v>524</v>
      </c>
      <c r="B79" s="7" t="s">
        <v>160</v>
      </c>
      <c r="C79" s="7" t="s">
        <v>161</v>
      </c>
      <c r="D79" s="7" t="s">
        <v>18</v>
      </c>
      <c r="E79" s="7" t="s">
        <v>525</v>
      </c>
      <c r="F79" s="19" t="s">
        <v>416</v>
      </c>
      <c r="G79" s="21"/>
      <c r="H79" s="7"/>
      <c r="I79" s="7" t="s">
        <v>426</v>
      </c>
      <c r="J79" s="22"/>
      <c r="K79" s="22"/>
      <c r="L79" s="21"/>
      <c r="M79" s="23" t="s">
        <v>419</v>
      </c>
      <c r="N79" s="7" t="s">
        <v>206</v>
      </c>
      <c r="O79" s="23" t="s">
        <v>420</v>
      </c>
    </row>
    <row r="80" customFormat="false" ht="40.5" hidden="false" customHeight="true" outlineLevel="0" collapsed="false">
      <c r="A80" s="19" t="s">
        <v>526</v>
      </c>
      <c r="B80" s="7" t="s">
        <v>160</v>
      </c>
      <c r="C80" s="7" t="s">
        <v>161</v>
      </c>
      <c r="D80" s="7" t="s">
        <v>19</v>
      </c>
      <c r="E80" s="7" t="s">
        <v>428</v>
      </c>
      <c r="F80" s="19" t="s">
        <v>423</v>
      </c>
      <c r="G80" s="21"/>
      <c r="H80" s="7"/>
      <c r="I80" s="7" t="s">
        <v>426</v>
      </c>
      <c r="J80" s="22"/>
      <c r="K80" s="22"/>
      <c r="L80" s="21"/>
      <c r="M80" s="23" t="s">
        <v>419</v>
      </c>
      <c r="N80" s="7" t="s">
        <v>210</v>
      </c>
      <c r="O80" s="23" t="s">
        <v>420</v>
      </c>
    </row>
    <row r="81" customFormat="false" ht="40.5" hidden="false" customHeight="true" outlineLevel="0" collapsed="false">
      <c r="A81" s="19" t="s">
        <v>527</v>
      </c>
      <c r="B81" s="7" t="s">
        <v>160</v>
      </c>
      <c r="C81" s="7" t="s">
        <v>161</v>
      </c>
      <c r="D81" s="7" t="s">
        <v>20</v>
      </c>
      <c r="E81" s="7" t="s">
        <v>430</v>
      </c>
      <c r="F81" s="19" t="s">
        <v>416</v>
      </c>
      <c r="G81" s="21"/>
      <c r="H81" s="7"/>
      <c r="I81" s="7" t="s">
        <v>426</v>
      </c>
      <c r="J81" s="22"/>
      <c r="K81" s="22"/>
      <c r="L81" s="21"/>
      <c r="M81" s="23" t="s">
        <v>419</v>
      </c>
      <c r="N81" s="7" t="s">
        <v>212</v>
      </c>
      <c r="O81" s="23" t="s">
        <v>420</v>
      </c>
    </row>
    <row r="82" customFormat="false" ht="40.5" hidden="false" customHeight="true" outlineLevel="0" collapsed="false">
      <c r="A82" s="19" t="s">
        <v>528</v>
      </c>
      <c r="B82" s="7" t="s">
        <v>160</v>
      </c>
      <c r="C82" s="7" t="s">
        <v>161</v>
      </c>
      <c r="D82" s="7" t="s">
        <v>21</v>
      </c>
      <c r="E82" s="7" t="s">
        <v>432</v>
      </c>
      <c r="F82" s="19" t="s">
        <v>416</v>
      </c>
      <c r="G82" s="21"/>
      <c r="H82" s="7"/>
      <c r="I82" s="7" t="s">
        <v>426</v>
      </c>
      <c r="J82" s="22"/>
      <c r="K82" s="22"/>
      <c r="L82" s="21"/>
      <c r="M82" s="23" t="s">
        <v>419</v>
      </c>
      <c r="N82" s="7" t="s">
        <v>214</v>
      </c>
      <c r="O82" s="23" t="s">
        <v>420</v>
      </c>
    </row>
    <row r="83" customFormat="false" ht="40.5" hidden="false" customHeight="true" outlineLevel="0" collapsed="false">
      <c r="A83" s="19" t="s">
        <v>529</v>
      </c>
      <c r="B83" s="7" t="s">
        <v>160</v>
      </c>
      <c r="C83" s="7" t="s">
        <v>161</v>
      </c>
      <c r="D83" s="7" t="s">
        <v>22</v>
      </c>
      <c r="E83" s="7" t="s">
        <v>434</v>
      </c>
      <c r="F83" s="19" t="s">
        <v>416</v>
      </c>
      <c r="G83" s="21"/>
      <c r="H83" s="7"/>
      <c r="I83" s="7" t="s">
        <v>426</v>
      </c>
      <c r="J83" s="22"/>
      <c r="K83" s="22"/>
      <c r="L83" s="21"/>
      <c r="M83" s="23" t="s">
        <v>419</v>
      </c>
      <c r="N83" s="7" t="s">
        <v>216</v>
      </c>
      <c r="O83" s="23" t="s">
        <v>420</v>
      </c>
    </row>
    <row r="84" customFormat="false" ht="40.5" hidden="false" customHeight="true" outlineLevel="0" collapsed="false">
      <c r="A84" s="19" t="s">
        <v>530</v>
      </c>
      <c r="B84" s="7" t="s">
        <v>160</v>
      </c>
      <c r="C84" s="7" t="s">
        <v>161</v>
      </c>
      <c r="D84" s="7" t="s">
        <v>23</v>
      </c>
      <c r="E84" s="7" t="s">
        <v>436</v>
      </c>
      <c r="F84" s="19" t="s">
        <v>437</v>
      </c>
      <c r="G84" s="21"/>
      <c r="H84" s="7"/>
      <c r="I84" s="7" t="s">
        <v>426</v>
      </c>
      <c r="J84" s="22"/>
      <c r="K84" s="22"/>
      <c r="L84" s="21"/>
      <c r="M84" s="23" t="s">
        <v>419</v>
      </c>
      <c r="N84" s="7" t="s">
        <v>218</v>
      </c>
      <c r="O84" s="23" t="s">
        <v>420</v>
      </c>
    </row>
    <row r="85" customFormat="false" ht="40.5" hidden="false" customHeight="true" outlineLevel="0" collapsed="false">
      <c r="A85" s="19" t="s">
        <v>531</v>
      </c>
      <c r="B85" s="7" t="s">
        <v>160</v>
      </c>
      <c r="C85" s="7" t="s">
        <v>161</v>
      </c>
      <c r="D85" s="7" t="s">
        <v>24</v>
      </c>
      <c r="E85" s="7" t="s">
        <v>439</v>
      </c>
      <c r="F85" s="19" t="s">
        <v>423</v>
      </c>
      <c r="G85" s="21"/>
      <c r="H85" s="7"/>
      <c r="I85" s="7" t="s">
        <v>426</v>
      </c>
      <c r="J85" s="22"/>
      <c r="K85" s="22"/>
      <c r="L85" s="21"/>
      <c r="M85" s="23" t="s">
        <v>419</v>
      </c>
      <c r="N85" s="7" t="s">
        <v>224</v>
      </c>
      <c r="O85" s="23" t="s">
        <v>420</v>
      </c>
    </row>
    <row r="86" customFormat="false" ht="40.5" hidden="false" customHeight="true" outlineLevel="0" collapsed="false">
      <c r="A86" s="19" t="s">
        <v>532</v>
      </c>
      <c r="B86" s="7" t="s">
        <v>165</v>
      </c>
      <c r="C86" s="7" t="s">
        <v>166</v>
      </c>
      <c r="D86" s="7" t="s">
        <v>16</v>
      </c>
      <c r="E86" s="7" t="s">
        <v>533</v>
      </c>
      <c r="F86" s="19" t="s">
        <v>416</v>
      </c>
      <c r="G86" s="21"/>
      <c r="H86" s="7" t="s">
        <v>417</v>
      </c>
      <c r="I86" s="7" t="s">
        <v>418</v>
      </c>
      <c r="J86" s="22"/>
      <c r="K86" s="22"/>
      <c r="L86" s="21"/>
      <c r="M86" s="23" t="s">
        <v>419</v>
      </c>
      <c r="N86" s="7" t="s">
        <v>194</v>
      </c>
      <c r="O86" s="23" t="s">
        <v>420</v>
      </c>
    </row>
    <row r="87" customFormat="false" ht="65.25" hidden="false" customHeight="true" outlineLevel="0" collapsed="false">
      <c r="A87" s="19" t="s">
        <v>534</v>
      </c>
      <c r="B87" s="7" t="s">
        <v>165</v>
      </c>
      <c r="C87" s="7" t="s">
        <v>166</v>
      </c>
      <c r="D87" s="7" t="s">
        <v>17</v>
      </c>
      <c r="E87" s="7" t="s">
        <v>422</v>
      </c>
      <c r="F87" s="19" t="s">
        <v>423</v>
      </c>
      <c r="G87" s="21"/>
      <c r="H87" s="7" t="s">
        <v>417</v>
      </c>
      <c r="I87" s="7" t="s">
        <v>418</v>
      </c>
      <c r="J87" s="22"/>
      <c r="K87" s="22"/>
      <c r="L87" s="21"/>
      <c r="M87" s="23" t="s">
        <v>419</v>
      </c>
      <c r="N87" s="7" t="s">
        <v>201</v>
      </c>
      <c r="O87" s="23" t="s">
        <v>420</v>
      </c>
    </row>
    <row r="88" customFormat="false" ht="40.5" hidden="false" customHeight="true" outlineLevel="0" collapsed="false">
      <c r="A88" s="19" t="s">
        <v>535</v>
      </c>
      <c r="B88" s="7" t="s">
        <v>165</v>
      </c>
      <c r="C88" s="7" t="s">
        <v>166</v>
      </c>
      <c r="D88" s="7" t="s">
        <v>18</v>
      </c>
      <c r="E88" s="7" t="s">
        <v>536</v>
      </c>
      <c r="F88" s="19" t="s">
        <v>416</v>
      </c>
      <c r="G88" s="21"/>
      <c r="H88" s="7"/>
      <c r="I88" s="7" t="s">
        <v>426</v>
      </c>
      <c r="J88" s="22"/>
      <c r="K88" s="22"/>
      <c r="L88" s="21"/>
      <c r="M88" s="23" t="s">
        <v>419</v>
      </c>
      <c r="N88" s="7" t="s">
        <v>206</v>
      </c>
      <c r="O88" s="23" t="s">
        <v>420</v>
      </c>
    </row>
    <row r="89" customFormat="false" ht="40.5" hidden="false" customHeight="true" outlineLevel="0" collapsed="false">
      <c r="A89" s="19" t="s">
        <v>537</v>
      </c>
      <c r="B89" s="7" t="s">
        <v>165</v>
      </c>
      <c r="C89" s="7" t="s">
        <v>166</v>
      </c>
      <c r="D89" s="7" t="s">
        <v>19</v>
      </c>
      <c r="E89" s="7" t="s">
        <v>428</v>
      </c>
      <c r="F89" s="19" t="s">
        <v>423</v>
      </c>
      <c r="G89" s="21"/>
      <c r="H89" s="7"/>
      <c r="I89" s="7" t="s">
        <v>426</v>
      </c>
      <c r="J89" s="22"/>
      <c r="K89" s="22"/>
      <c r="L89" s="21"/>
      <c r="M89" s="23" t="s">
        <v>419</v>
      </c>
      <c r="N89" s="7" t="s">
        <v>210</v>
      </c>
      <c r="O89" s="23" t="s">
        <v>420</v>
      </c>
    </row>
    <row r="90" customFormat="false" ht="40.5" hidden="false" customHeight="true" outlineLevel="0" collapsed="false">
      <c r="A90" s="19" t="s">
        <v>538</v>
      </c>
      <c r="B90" s="7" t="s">
        <v>165</v>
      </c>
      <c r="C90" s="7" t="s">
        <v>166</v>
      </c>
      <c r="D90" s="7" t="s">
        <v>20</v>
      </c>
      <c r="E90" s="7" t="s">
        <v>430</v>
      </c>
      <c r="F90" s="19" t="s">
        <v>416</v>
      </c>
      <c r="G90" s="21"/>
      <c r="H90" s="7"/>
      <c r="I90" s="7" t="s">
        <v>426</v>
      </c>
      <c r="J90" s="22"/>
      <c r="K90" s="22"/>
      <c r="L90" s="21"/>
      <c r="M90" s="23" t="s">
        <v>419</v>
      </c>
      <c r="N90" s="7" t="s">
        <v>212</v>
      </c>
      <c r="O90" s="23" t="s">
        <v>420</v>
      </c>
    </row>
    <row r="91" customFormat="false" ht="40.5" hidden="false" customHeight="true" outlineLevel="0" collapsed="false">
      <c r="A91" s="19" t="s">
        <v>539</v>
      </c>
      <c r="B91" s="7" t="s">
        <v>165</v>
      </c>
      <c r="C91" s="7" t="s">
        <v>166</v>
      </c>
      <c r="D91" s="7" t="s">
        <v>21</v>
      </c>
      <c r="E91" s="7" t="s">
        <v>432</v>
      </c>
      <c r="F91" s="19" t="s">
        <v>416</v>
      </c>
      <c r="G91" s="21"/>
      <c r="H91" s="7"/>
      <c r="I91" s="7" t="s">
        <v>426</v>
      </c>
      <c r="J91" s="22"/>
      <c r="K91" s="22"/>
      <c r="L91" s="21"/>
      <c r="M91" s="23" t="s">
        <v>419</v>
      </c>
      <c r="N91" s="7" t="s">
        <v>214</v>
      </c>
      <c r="O91" s="23" t="s">
        <v>420</v>
      </c>
    </row>
    <row r="92" customFormat="false" ht="40.5" hidden="false" customHeight="true" outlineLevel="0" collapsed="false">
      <c r="A92" s="19" t="s">
        <v>540</v>
      </c>
      <c r="B92" s="7" t="s">
        <v>165</v>
      </c>
      <c r="C92" s="7" t="s">
        <v>166</v>
      </c>
      <c r="D92" s="7" t="s">
        <v>22</v>
      </c>
      <c r="E92" s="7" t="s">
        <v>434</v>
      </c>
      <c r="F92" s="19" t="s">
        <v>416</v>
      </c>
      <c r="G92" s="21"/>
      <c r="H92" s="7"/>
      <c r="I92" s="7" t="s">
        <v>426</v>
      </c>
      <c r="J92" s="22"/>
      <c r="K92" s="22"/>
      <c r="L92" s="21"/>
      <c r="M92" s="23" t="s">
        <v>419</v>
      </c>
      <c r="N92" s="7" t="s">
        <v>216</v>
      </c>
      <c r="O92" s="23" t="s">
        <v>420</v>
      </c>
    </row>
    <row r="93" customFormat="false" ht="40.5" hidden="false" customHeight="true" outlineLevel="0" collapsed="false">
      <c r="A93" s="19" t="s">
        <v>541</v>
      </c>
      <c r="B93" s="7" t="s">
        <v>165</v>
      </c>
      <c r="C93" s="7" t="s">
        <v>166</v>
      </c>
      <c r="D93" s="7" t="s">
        <v>23</v>
      </c>
      <c r="E93" s="7" t="s">
        <v>436</v>
      </c>
      <c r="F93" s="19" t="s">
        <v>437</v>
      </c>
      <c r="G93" s="21"/>
      <c r="H93" s="7"/>
      <c r="I93" s="7" t="s">
        <v>426</v>
      </c>
      <c r="J93" s="22"/>
      <c r="K93" s="22"/>
      <c r="L93" s="21"/>
      <c r="M93" s="23" t="s">
        <v>419</v>
      </c>
      <c r="N93" s="7" t="s">
        <v>218</v>
      </c>
      <c r="O93" s="23" t="s">
        <v>420</v>
      </c>
    </row>
    <row r="94" customFormat="false" ht="40.5" hidden="false" customHeight="true" outlineLevel="0" collapsed="false">
      <c r="A94" s="19" t="s">
        <v>542</v>
      </c>
      <c r="B94" s="7" t="s">
        <v>165</v>
      </c>
      <c r="C94" s="7" t="s">
        <v>166</v>
      </c>
      <c r="D94" s="7" t="s">
        <v>24</v>
      </c>
      <c r="E94" s="7" t="s">
        <v>439</v>
      </c>
      <c r="F94" s="19" t="s">
        <v>423</v>
      </c>
      <c r="G94" s="21"/>
      <c r="H94" s="7"/>
      <c r="I94" s="7" t="s">
        <v>426</v>
      </c>
      <c r="J94" s="22"/>
      <c r="K94" s="22"/>
      <c r="L94" s="21"/>
      <c r="M94" s="23" t="s">
        <v>419</v>
      </c>
      <c r="N94" s="7" t="s">
        <v>224</v>
      </c>
      <c r="O94" s="23" t="s">
        <v>420</v>
      </c>
    </row>
    <row r="95" customFormat="false" ht="40.5" hidden="false" customHeight="true" outlineLevel="0" collapsed="false">
      <c r="A95" s="19" t="s">
        <v>543</v>
      </c>
      <c r="B95" s="7" t="s">
        <v>544</v>
      </c>
      <c r="C95" s="7" t="s">
        <v>545</v>
      </c>
      <c r="D95" s="7" t="s">
        <v>546</v>
      </c>
      <c r="E95" s="7" t="s">
        <v>547</v>
      </c>
      <c r="F95" s="19" t="s">
        <v>423</v>
      </c>
      <c r="G95" s="21"/>
      <c r="H95" s="7" t="s">
        <v>417</v>
      </c>
      <c r="I95" s="7" t="s">
        <v>418</v>
      </c>
      <c r="J95" s="22"/>
      <c r="K95" s="22"/>
      <c r="L95" s="21"/>
      <c r="M95" s="23" t="s">
        <v>13</v>
      </c>
      <c r="N95" s="7" t="s">
        <v>548</v>
      </c>
      <c r="O95" s="23" t="s">
        <v>420</v>
      </c>
    </row>
    <row r="96" customFormat="false" ht="40.5" hidden="false" customHeight="true" outlineLevel="0" collapsed="false">
      <c r="A96" s="19" t="s">
        <v>549</v>
      </c>
      <c r="B96" s="7" t="s">
        <v>544</v>
      </c>
      <c r="C96" s="7" t="s">
        <v>545</v>
      </c>
      <c r="D96" s="7" t="s">
        <v>546</v>
      </c>
      <c r="E96" s="7" t="s">
        <v>550</v>
      </c>
      <c r="F96" s="19" t="s">
        <v>423</v>
      </c>
      <c r="G96" s="21"/>
      <c r="H96" s="7"/>
      <c r="I96" s="7" t="s">
        <v>551</v>
      </c>
      <c r="J96" s="22"/>
      <c r="K96" s="22"/>
      <c r="L96" s="21"/>
      <c r="M96" s="23" t="s">
        <v>13</v>
      </c>
      <c r="N96" s="7" t="s">
        <v>548</v>
      </c>
      <c r="O96" s="23" t="s">
        <v>420</v>
      </c>
    </row>
    <row r="97" customFormat="false" ht="27.75" hidden="false" customHeight="true" outlineLevel="0" collapsed="false">
      <c r="A97" s="19" t="s">
        <v>552</v>
      </c>
      <c r="B97" s="7" t="s">
        <v>544</v>
      </c>
      <c r="C97" s="7" t="s">
        <v>545</v>
      </c>
      <c r="D97" s="7" t="s">
        <v>546</v>
      </c>
      <c r="E97" s="7" t="s">
        <v>553</v>
      </c>
      <c r="F97" s="19" t="s">
        <v>423</v>
      </c>
      <c r="G97" s="21"/>
      <c r="H97" s="7"/>
      <c r="I97" s="7" t="s">
        <v>554</v>
      </c>
      <c r="J97" s="22"/>
      <c r="K97" s="22"/>
      <c r="L97" s="21"/>
      <c r="M97" s="23" t="s">
        <v>13</v>
      </c>
      <c r="N97" s="7" t="s">
        <v>548</v>
      </c>
      <c r="O97" s="23" t="s">
        <v>420</v>
      </c>
    </row>
    <row r="98" customFormat="false" ht="40.5" hidden="false" customHeight="true" outlineLevel="0" collapsed="false">
      <c r="A98" s="19" t="s">
        <v>555</v>
      </c>
      <c r="B98" s="7" t="s">
        <v>544</v>
      </c>
      <c r="C98" s="7" t="s">
        <v>545</v>
      </c>
      <c r="D98" s="7" t="s">
        <v>546</v>
      </c>
      <c r="E98" s="7" t="s">
        <v>556</v>
      </c>
      <c r="F98" s="19" t="s">
        <v>416</v>
      </c>
      <c r="G98" s="21"/>
      <c r="H98" s="7"/>
      <c r="I98" s="7" t="s">
        <v>557</v>
      </c>
      <c r="J98" s="22"/>
      <c r="K98" s="22"/>
      <c r="L98" s="21"/>
      <c r="M98" s="23" t="s">
        <v>13</v>
      </c>
      <c r="N98" s="7" t="s">
        <v>548</v>
      </c>
      <c r="O98" s="23" t="s">
        <v>420</v>
      </c>
    </row>
  </sheetData>
  <conditionalFormatting sqref="O5:O98">
    <cfRule type="cellIs" priority="2" operator="equal" aboveAverage="0" equalAverage="0" bottom="0" percent="0" rank="0" text="" dxfId="2">
      <formula>"open"</formula>
    </cfRule>
    <cfRule type="cellIs" priority="3" operator="equal" aboveAverage="0" equalAverage="0" bottom="0" percent="0" rank="0" text="" dxfId="1">
      <formula>"in_progress"</formula>
    </cfRule>
    <cfRule type="cellIs" priority="4" operator="equal" aboveAverage="0" equalAverage="0" bottom="0" percent="0" rank="0" text="" dxfId="0">
      <formula>"completed"</formula>
    </cfRule>
    <cfRule type="cellIs" priority="5" operator="equal" aboveAverage="0" equalAverage="0" bottom="0" percent="0" rank="0" text="" dxfId="3">
      <formula>"blocked"</formula>
    </cfRule>
  </conditionalFormatting>
  <conditionalFormatting sqref="F5:F98">
    <cfRule type="cellIs" priority="6" operator="equal" aboveAverage="0" equalAverage="0" bottom="0" percent="0" rank="0" text="" dxfId="27">
      <formula>"High"</formula>
    </cfRule>
    <cfRule type="cellIs" priority="7" operator="equal" aboveAverage="0" equalAverage="0" bottom="0" percent="0" rank="0" text="" dxfId="20">
      <formula>"Medium"</formula>
    </cfRule>
    <cfRule type="cellIs" priority="8" operator="equal" aboveAverage="0" equalAverage="0" bottom="0" percent="0" rank="0" text="" dxfId="28">
      <formula>"Low"</formula>
    </cfRule>
  </conditionalFormatting>
  <dataValidations count="4">
    <dataValidation allowBlank="true" errorStyle="stop" operator="between" showDropDown="false" showErrorMessage="true" showInputMessage="false" sqref="M5:M98" type="list">
      <formula1>"not_requested,requested,granted_documented,declined,no_response,not_applicable"</formula1>
      <formula2>0</formula2>
    </dataValidation>
    <dataValidation allowBlank="false" errorStyle="stop" operator="between" showDropDown="false" showErrorMessage="true" showInputMessage="false" sqref="O5:O98" type="list">
      <formula1>"open,in_progress,completed,blocked"</formula1>
      <formula2>0</formula2>
    </dataValidation>
    <dataValidation allowBlank="true" errorStyle="stop" operator="between" showDropDown="false" showErrorMessage="true" showInputMessage="false" sqref="F5:F98" type="list">
      <formula1>"High,Medium,Low"</formula1>
      <formula2>0</formula2>
    </dataValidation>
    <dataValidation allowBlank="true" error="Enter a valid date (yyyy-mm-dd)." errorStyle="stop" errorTitle="Date" operator="greaterThan" showDropDown="false" showErrorMessage="true" showInputMessage="false" sqref="J5:K98" type="date">
      <formula1>43831</formula1>
      <formula2>0</formula2>
    </dataValidation>
  </dataValidations>
  <printOptions headings="false" gridLines="false" gridLinesSet="true" horizontalCentered="fals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&amp;A - page &amp;P of &amp;N&amp;R&amp;8 Research/review artifact - not authorization to publish</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4" min="3" style="0" width="46"/>
    <col collapsed="false" customWidth="true" hidden="false" outlineLevel="0" max="5" min="5" style="0" width="42"/>
    <col collapsed="false" customWidth="true" hidden="false" outlineLevel="0" max="6" min="6" style="0" width="34"/>
    <col collapsed="false" customWidth="true" hidden="false" outlineLevel="0" max="7" min="7" style="0" width="24"/>
  </cols>
  <sheetData>
    <row r="1" customFormat="false" ht="24" hidden="false" customHeight="true" outlineLevel="0" collapsed="false">
      <c r="A1" s="1" t="s">
        <v>558</v>
      </c>
    </row>
    <row r="2" customFormat="false" ht="15" hidden="false" customHeight="false" outlineLevel="0" collapsed="false">
      <c r="A2" s="2" t="s">
        <v>559</v>
      </c>
    </row>
    <row r="3" customFormat="false" ht="15" hidden="false" customHeight="false" outlineLevel="0" collapsed="false">
      <c r="A3" s="2" t="s">
        <v>560</v>
      </c>
    </row>
    <row r="4" customFormat="false" ht="31.5" hidden="false" customHeight="true" outlineLevel="0" collapsed="false">
      <c r="A4" s="5" t="s">
        <v>561</v>
      </c>
      <c r="B4" s="5" t="s">
        <v>562</v>
      </c>
      <c r="C4" s="5" t="s">
        <v>563</v>
      </c>
      <c r="D4" s="5" t="s">
        <v>564</v>
      </c>
      <c r="E4" s="5" t="s">
        <v>565</v>
      </c>
      <c r="F4" s="5" t="s">
        <v>566</v>
      </c>
      <c r="G4" s="5" t="s">
        <v>567</v>
      </c>
    </row>
    <row r="5" customFormat="false" ht="40.5" hidden="false" customHeight="true" outlineLevel="0" collapsed="false">
      <c r="A5" s="9" t="s">
        <v>78</v>
      </c>
      <c r="B5" s="7" t="s">
        <v>568</v>
      </c>
      <c r="C5" s="7" t="s">
        <v>569</v>
      </c>
      <c r="D5" s="7" t="s">
        <v>570</v>
      </c>
      <c r="E5" s="7" t="s">
        <v>571</v>
      </c>
      <c r="F5" s="7" t="s">
        <v>572</v>
      </c>
      <c r="G5" s="7" t="s">
        <v>573</v>
      </c>
    </row>
    <row r="6" customFormat="false" ht="40.5" hidden="false" customHeight="true" outlineLevel="0" collapsed="false">
      <c r="A6" s="9" t="s">
        <v>79</v>
      </c>
      <c r="B6" s="7" t="s">
        <v>568</v>
      </c>
      <c r="C6" s="7" t="s">
        <v>574</v>
      </c>
      <c r="D6" s="7" t="s">
        <v>575</v>
      </c>
      <c r="E6" s="7" t="s">
        <v>576</v>
      </c>
      <c r="F6" s="7" t="s">
        <v>572</v>
      </c>
      <c r="G6" s="7" t="s">
        <v>573</v>
      </c>
    </row>
    <row r="7" customFormat="false" ht="40.5" hidden="false" customHeight="true" outlineLevel="0" collapsed="false">
      <c r="A7" s="9" t="s">
        <v>80</v>
      </c>
      <c r="B7" s="7" t="s">
        <v>568</v>
      </c>
      <c r="C7" s="7" t="s">
        <v>577</v>
      </c>
      <c r="D7" s="7" t="s">
        <v>578</v>
      </c>
      <c r="E7" s="7" t="s">
        <v>579</v>
      </c>
      <c r="F7" s="7" t="s">
        <v>572</v>
      </c>
      <c r="G7" s="7" t="s">
        <v>573</v>
      </c>
    </row>
    <row r="8" customFormat="false" ht="40.5" hidden="false" customHeight="true" outlineLevel="0" collapsed="false">
      <c r="A8" s="9" t="s">
        <v>81</v>
      </c>
      <c r="B8" s="7" t="s">
        <v>568</v>
      </c>
      <c r="C8" s="7" t="s">
        <v>580</v>
      </c>
      <c r="D8" s="7" t="s">
        <v>575</v>
      </c>
      <c r="E8" s="7" t="s">
        <v>581</v>
      </c>
      <c r="F8" s="7" t="s">
        <v>572</v>
      </c>
      <c r="G8" s="7" t="s">
        <v>573</v>
      </c>
    </row>
    <row r="9" customFormat="false" ht="40.5" hidden="false" customHeight="true" outlineLevel="0" collapsed="false">
      <c r="A9" s="9" t="s">
        <v>82</v>
      </c>
      <c r="B9" s="7" t="s">
        <v>568</v>
      </c>
      <c r="C9" s="7" t="s">
        <v>582</v>
      </c>
      <c r="D9" s="7" t="s">
        <v>583</v>
      </c>
      <c r="E9" s="7" t="s">
        <v>584</v>
      </c>
      <c r="F9" s="7" t="s">
        <v>572</v>
      </c>
      <c r="G9" s="7" t="s">
        <v>573</v>
      </c>
    </row>
    <row r="10" customFormat="false" ht="40.5" hidden="false" customHeight="true" outlineLevel="0" collapsed="false">
      <c r="A10" s="9" t="s">
        <v>83</v>
      </c>
      <c r="B10" s="7" t="s">
        <v>568</v>
      </c>
      <c r="C10" s="7" t="s">
        <v>585</v>
      </c>
      <c r="D10" s="7" t="s">
        <v>583</v>
      </c>
      <c r="E10" s="7" t="s">
        <v>586</v>
      </c>
      <c r="F10" s="7" t="s">
        <v>572</v>
      </c>
      <c r="G10" s="7" t="s">
        <v>573</v>
      </c>
    </row>
    <row r="11" customFormat="false" ht="40.5" hidden="false" customHeight="true" outlineLevel="0" collapsed="false">
      <c r="A11" s="9" t="s">
        <v>84</v>
      </c>
      <c r="B11" s="7" t="s">
        <v>568</v>
      </c>
      <c r="C11" s="7" t="s">
        <v>587</v>
      </c>
      <c r="D11" s="7" t="s">
        <v>588</v>
      </c>
      <c r="E11" s="7" t="s">
        <v>589</v>
      </c>
      <c r="F11" s="7" t="s">
        <v>572</v>
      </c>
      <c r="G11" s="7" t="s">
        <v>573</v>
      </c>
    </row>
    <row r="12" customFormat="false" ht="40.5" hidden="false" customHeight="true" outlineLevel="0" collapsed="false">
      <c r="A12" s="9" t="s">
        <v>85</v>
      </c>
      <c r="B12" s="7" t="s">
        <v>568</v>
      </c>
      <c r="C12" s="7" t="s">
        <v>590</v>
      </c>
      <c r="D12" s="7" t="s">
        <v>591</v>
      </c>
      <c r="E12" s="7" t="s">
        <v>592</v>
      </c>
      <c r="F12" s="7" t="s">
        <v>572</v>
      </c>
      <c r="G12" s="7" t="s">
        <v>573</v>
      </c>
    </row>
    <row r="13" customFormat="false" ht="40.5" hidden="false" customHeight="true" outlineLevel="0" collapsed="false">
      <c r="A13" s="9" t="s">
        <v>86</v>
      </c>
      <c r="B13" s="7" t="s">
        <v>568</v>
      </c>
      <c r="C13" s="7" t="s">
        <v>593</v>
      </c>
      <c r="D13" s="7" t="s">
        <v>594</v>
      </c>
      <c r="E13" s="7" t="s">
        <v>595</v>
      </c>
      <c r="F13" s="7" t="s">
        <v>572</v>
      </c>
      <c r="G13" s="7" t="s">
        <v>573</v>
      </c>
    </row>
    <row r="14" customFormat="false" ht="40.5" hidden="false" customHeight="true" outlineLevel="0" collapsed="false">
      <c r="A14" s="9" t="s">
        <v>87</v>
      </c>
      <c r="B14" s="7" t="s">
        <v>568</v>
      </c>
      <c r="C14" s="7" t="s">
        <v>596</v>
      </c>
      <c r="D14" s="7" t="s">
        <v>597</v>
      </c>
      <c r="E14" s="7" t="s">
        <v>598</v>
      </c>
      <c r="F14" s="7" t="s">
        <v>572</v>
      </c>
      <c r="G14" s="7" t="s">
        <v>573</v>
      </c>
    </row>
    <row r="15" customFormat="false" ht="40.5" hidden="false" customHeight="true" outlineLevel="0" collapsed="false">
      <c r="A15" s="9" t="s">
        <v>88</v>
      </c>
      <c r="B15" s="7" t="s">
        <v>568</v>
      </c>
      <c r="C15" s="7" t="s">
        <v>599</v>
      </c>
      <c r="D15" s="7" t="s">
        <v>600</v>
      </c>
      <c r="E15" s="7" t="s">
        <v>601</v>
      </c>
      <c r="F15" s="7" t="s">
        <v>602</v>
      </c>
      <c r="G15" s="7" t="s">
        <v>573</v>
      </c>
    </row>
    <row r="16" customFormat="false" ht="40.5" hidden="false" customHeight="true" outlineLevel="0" collapsed="false">
      <c r="A16" s="9" t="s">
        <v>89</v>
      </c>
      <c r="B16" s="7" t="s">
        <v>568</v>
      </c>
      <c r="C16" s="7" t="s">
        <v>603</v>
      </c>
      <c r="D16" s="7" t="s">
        <v>604</v>
      </c>
      <c r="E16" s="7" t="s">
        <v>605</v>
      </c>
      <c r="F16" s="7" t="s">
        <v>572</v>
      </c>
      <c r="G16" s="7" t="s">
        <v>573</v>
      </c>
    </row>
    <row r="17" customFormat="false" ht="40.5" hidden="false" customHeight="true" outlineLevel="0" collapsed="false">
      <c r="A17" s="9" t="s">
        <v>90</v>
      </c>
      <c r="B17" s="7" t="s">
        <v>568</v>
      </c>
      <c r="C17" s="7" t="s">
        <v>606</v>
      </c>
      <c r="D17" s="7" t="s">
        <v>607</v>
      </c>
      <c r="E17" s="7" t="s">
        <v>592</v>
      </c>
      <c r="F17" s="7" t="s">
        <v>572</v>
      </c>
      <c r="G17" s="7" t="s">
        <v>573</v>
      </c>
    </row>
    <row r="18" customFormat="false" ht="40.5" hidden="false" customHeight="true" outlineLevel="0" collapsed="false">
      <c r="A18" s="9" t="s">
        <v>91</v>
      </c>
      <c r="B18" s="7" t="s">
        <v>568</v>
      </c>
      <c r="C18" s="7" t="s">
        <v>608</v>
      </c>
      <c r="D18" s="7" t="s">
        <v>609</v>
      </c>
      <c r="E18" s="7" t="s">
        <v>610</v>
      </c>
      <c r="F18" s="7" t="s">
        <v>572</v>
      </c>
      <c r="G18" s="7" t="s">
        <v>573</v>
      </c>
    </row>
    <row r="19" customFormat="false" ht="40.5" hidden="false" customHeight="true" outlineLevel="0" collapsed="false">
      <c r="A19" s="9" t="s">
        <v>92</v>
      </c>
      <c r="B19" s="7" t="s">
        <v>568</v>
      </c>
      <c r="C19" s="7" t="s">
        <v>611</v>
      </c>
      <c r="D19" s="7" t="s">
        <v>612</v>
      </c>
      <c r="E19" s="7" t="s">
        <v>613</v>
      </c>
      <c r="F19" s="7" t="s">
        <v>614</v>
      </c>
      <c r="G19" s="7" t="s">
        <v>573</v>
      </c>
    </row>
    <row r="20" customFormat="false" ht="40.5" hidden="false" customHeight="true" outlineLevel="0" collapsed="false">
      <c r="A20" s="9" t="s">
        <v>93</v>
      </c>
      <c r="B20" s="7" t="s">
        <v>568</v>
      </c>
      <c r="C20" s="7" t="s">
        <v>615</v>
      </c>
      <c r="D20" s="7" t="s">
        <v>616</v>
      </c>
      <c r="E20" s="7" t="s">
        <v>617</v>
      </c>
      <c r="F20" s="7" t="s">
        <v>618</v>
      </c>
      <c r="G20" s="7" t="s">
        <v>573</v>
      </c>
    </row>
    <row r="21" customFormat="false" ht="40.5" hidden="false" customHeight="true" outlineLevel="0" collapsed="false">
      <c r="A21" s="9" t="s">
        <v>94</v>
      </c>
      <c r="B21" s="7" t="s">
        <v>568</v>
      </c>
      <c r="C21" s="7" t="s">
        <v>619</v>
      </c>
      <c r="D21" s="7" t="s">
        <v>612</v>
      </c>
      <c r="E21" s="7" t="s">
        <v>620</v>
      </c>
      <c r="F21" s="7" t="s">
        <v>572</v>
      </c>
      <c r="G21" s="7" t="s">
        <v>573</v>
      </c>
    </row>
    <row r="22" customFormat="false" ht="40.5" hidden="false" customHeight="true" outlineLevel="0" collapsed="false">
      <c r="A22" s="9" t="s">
        <v>95</v>
      </c>
      <c r="B22" s="7" t="s">
        <v>568</v>
      </c>
      <c r="C22" s="7" t="s">
        <v>621</v>
      </c>
      <c r="D22" s="7" t="s">
        <v>622</v>
      </c>
      <c r="E22" s="7" t="s">
        <v>623</v>
      </c>
      <c r="F22" s="7" t="s">
        <v>624</v>
      </c>
      <c r="G22" s="7" t="s">
        <v>573</v>
      </c>
    </row>
    <row r="23" customFormat="false" ht="40.5" hidden="false" customHeight="true" outlineLevel="0" collapsed="false">
      <c r="A23" s="9" t="s">
        <v>96</v>
      </c>
      <c r="B23" s="7" t="s">
        <v>568</v>
      </c>
      <c r="C23" s="7" t="s">
        <v>625</v>
      </c>
      <c r="D23" s="7" t="s">
        <v>626</v>
      </c>
      <c r="E23" s="7" t="s">
        <v>627</v>
      </c>
      <c r="F23" s="7" t="s">
        <v>572</v>
      </c>
      <c r="G23" s="7" t="s">
        <v>573</v>
      </c>
    </row>
    <row r="24" customFormat="false" ht="40.5" hidden="false" customHeight="true" outlineLevel="0" collapsed="false">
      <c r="A24" s="9" t="s">
        <v>97</v>
      </c>
      <c r="B24" s="7" t="s">
        <v>568</v>
      </c>
      <c r="C24" s="7" t="s">
        <v>628</v>
      </c>
      <c r="D24" s="7" t="s">
        <v>629</v>
      </c>
      <c r="E24" s="7" t="s">
        <v>128</v>
      </c>
      <c r="F24" s="7" t="s">
        <v>572</v>
      </c>
      <c r="G24" s="7" t="s">
        <v>573</v>
      </c>
    </row>
    <row r="25" customFormat="false" ht="40.5" hidden="false" customHeight="true" outlineLevel="0" collapsed="false">
      <c r="A25" s="9" t="s">
        <v>98</v>
      </c>
      <c r="B25" s="7" t="s">
        <v>568</v>
      </c>
      <c r="C25" s="7" t="s">
        <v>630</v>
      </c>
      <c r="D25" s="7" t="s">
        <v>629</v>
      </c>
      <c r="E25" s="7" t="s">
        <v>631</v>
      </c>
      <c r="F25" s="7" t="s">
        <v>632</v>
      </c>
      <c r="G25" s="7" t="s">
        <v>573</v>
      </c>
    </row>
    <row r="26" customFormat="false" ht="40.5" hidden="false" customHeight="true" outlineLevel="0" collapsed="false">
      <c r="A26" s="9" t="s">
        <v>99</v>
      </c>
      <c r="B26" s="7" t="s">
        <v>568</v>
      </c>
      <c r="C26" s="7" t="s">
        <v>633</v>
      </c>
      <c r="D26" s="7" t="s">
        <v>634</v>
      </c>
      <c r="E26" s="7" t="s">
        <v>592</v>
      </c>
      <c r="F26" s="7" t="s">
        <v>572</v>
      </c>
      <c r="G26" s="7" t="s">
        <v>573</v>
      </c>
    </row>
    <row r="27" customFormat="false" ht="78" hidden="false" customHeight="true" outlineLevel="0" collapsed="false">
      <c r="A27" s="9" t="s">
        <v>100</v>
      </c>
      <c r="B27" s="7" t="s">
        <v>635</v>
      </c>
      <c r="C27" s="7" t="s">
        <v>636</v>
      </c>
      <c r="D27" s="7" t="s">
        <v>637</v>
      </c>
      <c r="E27" s="7" t="s">
        <v>638</v>
      </c>
      <c r="F27" s="7" t="s">
        <v>639</v>
      </c>
      <c r="G27" s="7" t="s">
        <v>639</v>
      </c>
    </row>
    <row r="28" customFormat="false" ht="40.5" hidden="false" customHeight="true" outlineLevel="0" collapsed="false">
      <c r="A28" s="9" t="s">
        <v>101</v>
      </c>
      <c r="B28" s="7" t="s">
        <v>635</v>
      </c>
      <c r="C28" s="7" t="s">
        <v>640</v>
      </c>
      <c r="D28" s="7" t="s">
        <v>641</v>
      </c>
      <c r="E28" s="7" t="s">
        <v>642</v>
      </c>
      <c r="F28" s="7" t="s">
        <v>639</v>
      </c>
      <c r="G28" s="7" t="s">
        <v>639</v>
      </c>
    </row>
    <row r="29" customFormat="false" ht="40.5" hidden="false" customHeight="true" outlineLevel="0" collapsed="false">
      <c r="A29" s="9" t="s">
        <v>102</v>
      </c>
      <c r="B29" s="7" t="s">
        <v>635</v>
      </c>
      <c r="C29" s="7" t="s">
        <v>643</v>
      </c>
      <c r="D29" s="7" t="s">
        <v>641</v>
      </c>
      <c r="E29" s="7" t="s">
        <v>642</v>
      </c>
      <c r="F29" s="7" t="s">
        <v>639</v>
      </c>
      <c r="G29" s="7" t="s">
        <v>639</v>
      </c>
    </row>
    <row r="30" customFormat="false" ht="40.5" hidden="false" customHeight="true" outlineLevel="0" collapsed="false">
      <c r="A30" s="9" t="s">
        <v>103</v>
      </c>
      <c r="B30" s="7" t="s">
        <v>635</v>
      </c>
      <c r="C30" s="7" t="s">
        <v>644</v>
      </c>
      <c r="D30" s="7" t="s">
        <v>645</v>
      </c>
      <c r="E30" s="7" t="s">
        <v>646</v>
      </c>
      <c r="F30" s="7" t="s">
        <v>639</v>
      </c>
      <c r="G30" s="7" t="s">
        <v>639</v>
      </c>
    </row>
    <row r="31" customFormat="false" ht="40.5" hidden="false" customHeight="true" outlineLevel="0" collapsed="false">
      <c r="A31" s="9" t="s">
        <v>104</v>
      </c>
      <c r="B31" s="7" t="s">
        <v>635</v>
      </c>
      <c r="C31" s="7" t="s">
        <v>647</v>
      </c>
      <c r="D31" s="7" t="s">
        <v>648</v>
      </c>
      <c r="E31" s="7" t="s">
        <v>649</v>
      </c>
      <c r="F31" s="7" t="s">
        <v>639</v>
      </c>
      <c r="G31" s="7" t="s">
        <v>639</v>
      </c>
    </row>
    <row r="32" customFormat="false" ht="40.5" hidden="false" customHeight="true" outlineLevel="0" collapsed="false">
      <c r="A32" s="9" t="s">
        <v>105</v>
      </c>
      <c r="B32" s="7" t="s">
        <v>635</v>
      </c>
      <c r="C32" s="7" t="s">
        <v>650</v>
      </c>
      <c r="D32" s="7" t="s">
        <v>591</v>
      </c>
      <c r="E32" s="7" t="s">
        <v>651</v>
      </c>
      <c r="F32" s="7" t="s">
        <v>639</v>
      </c>
      <c r="G32" s="7" t="s">
        <v>639</v>
      </c>
    </row>
    <row r="33" customFormat="false" ht="78" hidden="false" customHeight="true" outlineLevel="0" collapsed="false">
      <c r="A33" s="9" t="s">
        <v>652</v>
      </c>
      <c r="B33" s="7" t="s">
        <v>169</v>
      </c>
      <c r="C33" s="7" t="s">
        <v>653</v>
      </c>
      <c r="D33" s="7" t="s">
        <v>654</v>
      </c>
      <c r="E33" s="7" t="s">
        <v>655</v>
      </c>
      <c r="F33" s="7" t="s">
        <v>639</v>
      </c>
      <c r="G33" s="7" t="s">
        <v>639</v>
      </c>
    </row>
    <row r="34" customFormat="false" ht="40.5" hidden="false" customHeight="true" outlineLevel="0" collapsed="false">
      <c r="A34" s="9" t="s">
        <v>180</v>
      </c>
      <c r="B34" s="7" t="s">
        <v>169</v>
      </c>
      <c r="C34" s="7" t="s">
        <v>656</v>
      </c>
      <c r="D34" s="7" t="s">
        <v>657</v>
      </c>
      <c r="E34" s="7" t="s">
        <v>658</v>
      </c>
      <c r="F34" s="7" t="s">
        <v>639</v>
      </c>
      <c r="G34" s="7" t="s">
        <v>639</v>
      </c>
    </row>
    <row r="35" customFormat="false" ht="40.5" hidden="false" customHeight="true" outlineLevel="0" collapsed="false">
      <c r="A35" s="9" t="s">
        <v>183</v>
      </c>
      <c r="B35" s="7" t="s">
        <v>169</v>
      </c>
      <c r="C35" s="7" t="s">
        <v>659</v>
      </c>
      <c r="D35" s="7" t="s">
        <v>660</v>
      </c>
      <c r="E35" s="7" t="s">
        <v>661</v>
      </c>
      <c r="F35" s="7" t="s">
        <v>639</v>
      </c>
      <c r="G35" s="7" t="s">
        <v>639</v>
      </c>
    </row>
    <row r="36" customFormat="false" ht="40.5" hidden="false" customHeight="true" outlineLevel="0" collapsed="false">
      <c r="A36" s="9" t="s">
        <v>411</v>
      </c>
      <c r="B36" s="7" t="s">
        <v>398</v>
      </c>
      <c r="C36" s="7" t="s">
        <v>662</v>
      </c>
      <c r="D36" s="7" t="s">
        <v>663</v>
      </c>
      <c r="E36" s="7" t="s">
        <v>664</v>
      </c>
      <c r="F36" s="7" t="s">
        <v>665</v>
      </c>
      <c r="G36" s="7" t="s">
        <v>639</v>
      </c>
    </row>
    <row r="37" customFormat="false" ht="40.5" hidden="false" customHeight="true" outlineLevel="0" collapsed="false">
      <c r="A37" s="9" t="s">
        <v>413</v>
      </c>
      <c r="B37" s="7" t="s">
        <v>398</v>
      </c>
      <c r="C37" s="7" t="s">
        <v>666</v>
      </c>
      <c r="D37" s="7" t="s">
        <v>667</v>
      </c>
      <c r="E37" s="7" t="s">
        <v>668</v>
      </c>
      <c r="F37" s="7" t="s">
        <v>639</v>
      </c>
      <c r="G37" s="7" t="s">
        <v>639</v>
      </c>
    </row>
    <row r="38" customFormat="false" ht="40.5" hidden="false" customHeight="true" outlineLevel="0" collapsed="false">
      <c r="A38" s="9" t="s">
        <v>404</v>
      </c>
      <c r="B38" s="7" t="s">
        <v>398</v>
      </c>
      <c r="C38" s="7" t="s">
        <v>669</v>
      </c>
      <c r="D38" s="7" t="s">
        <v>670</v>
      </c>
      <c r="E38" s="7" t="s">
        <v>128</v>
      </c>
      <c r="F38" s="7" t="s">
        <v>639</v>
      </c>
      <c r="G38" s="7" t="s">
        <v>639</v>
      </c>
    </row>
  </sheetData>
  <printOptions headings="false" gridLines="false" gridLinesSet="true" horizontalCentered="false" verticalCentered="false"/>
  <pageMargins left="0.4" right="0.4" top="0.6" bottom="0.6"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&amp;A - page &amp;P of &amp;N&amp;R&amp;8 Research/review artifact - not authorization to publish</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2026-10-10T10:14:26Z</dcterms:created>
  <dc:creator>openpyxl</dc:creator>
  <dc:description/>
  <dc:language>en-US</dc:language>
  <cp:lastModifiedBy/>
  <dcterms:modified xsi:type="dcterms:W3CDTF">2026-10-10T10:14:26Z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